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repos\capstone_isd\knowledge\models\"/>
    </mc:Choice>
  </mc:AlternateContent>
  <xr:revisionPtr revIDLastSave="0" documentId="13_ncr:1_{DDDBC960-B364-4070-A69B-909268084EE9}" xr6:coauthVersionLast="47" xr6:coauthVersionMax="47" xr10:uidLastSave="{00000000-0000-0000-0000-000000000000}"/>
  <bookViews>
    <workbookView xWindow="840" yWindow="0" windowWidth="29655" windowHeight="20985" activeTab="2" xr2:uid="{00000000-000D-0000-FFFF-FFFF00000000}"/>
  </bookViews>
  <sheets>
    <sheet name="Stakeholder Assessment" sheetId="1" r:id="rId1"/>
    <sheet name="Decision Guide" sheetId="2" r:id="rId2"/>
    <sheet name="system definition decisio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9" i="1" l="1"/>
  <c r="M49" i="1" s="1"/>
  <c r="L48" i="1"/>
  <c r="M48" i="1" s="1"/>
  <c r="L47" i="1"/>
  <c r="M47" i="1" s="1"/>
  <c r="L46" i="1"/>
  <c r="M46" i="1" s="1"/>
  <c r="L45" i="1"/>
  <c r="M45" i="1" s="1"/>
  <c r="L44" i="1"/>
  <c r="M44" i="1" s="1"/>
  <c r="L43" i="1"/>
  <c r="M43" i="1" s="1"/>
  <c r="L42" i="1"/>
  <c r="M42" i="1" s="1"/>
  <c r="L41" i="1"/>
  <c r="M41" i="1" s="1"/>
  <c r="L40" i="1"/>
  <c r="M40" i="1" s="1"/>
  <c r="L39" i="1"/>
  <c r="M39" i="1" s="1"/>
  <c r="L38" i="1"/>
  <c r="M38" i="1" s="1"/>
  <c r="L37" i="1"/>
  <c r="M37" i="1" s="1"/>
  <c r="L36" i="1"/>
  <c r="M36" i="1" s="1"/>
  <c r="L35" i="1"/>
  <c r="M35" i="1" s="1"/>
  <c r="L34" i="1"/>
  <c r="M34" i="1" s="1"/>
  <c r="L33" i="1"/>
  <c r="M33" i="1" s="1"/>
  <c r="L32" i="1"/>
  <c r="M32" i="1" s="1"/>
  <c r="L31" i="1"/>
  <c r="M31" i="1" s="1"/>
  <c r="L30" i="1"/>
  <c r="M30" i="1" s="1"/>
  <c r="L29" i="1"/>
  <c r="M29" i="1" s="1"/>
  <c r="L28" i="1"/>
  <c r="M28" i="1" s="1"/>
  <c r="L27" i="1"/>
  <c r="M27" i="1" s="1"/>
  <c r="L26" i="1"/>
  <c r="M26" i="1" s="1"/>
  <c r="L25" i="1"/>
  <c r="M25" i="1" s="1"/>
  <c r="L24" i="1"/>
  <c r="M24" i="1" s="1"/>
  <c r="L23" i="1"/>
  <c r="M23" i="1" s="1"/>
  <c r="L22" i="1"/>
  <c r="M22" i="1" s="1"/>
  <c r="L21" i="1"/>
  <c r="M21" i="1" s="1"/>
  <c r="L20" i="1"/>
  <c r="M20" i="1" s="1"/>
  <c r="L19" i="1"/>
  <c r="M19" i="1" s="1"/>
  <c r="L18" i="1"/>
  <c r="M18" i="1" s="1"/>
  <c r="L17" i="1"/>
  <c r="M17" i="1" s="1"/>
  <c r="L16" i="1"/>
  <c r="M16" i="1" s="1"/>
  <c r="L15" i="1"/>
  <c r="M15" i="1" s="1"/>
  <c r="L14" i="1"/>
  <c r="M14" i="1" s="1"/>
  <c r="L13" i="1"/>
  <c r="M13" i="1" s="1"/>
  <c r="L12" i="1"/>
  <c r="M12" i="1" s="1"/>
  <c r="L11" i="1"/>
  <c r="M11" i="1" s="1"/>
  <c r="L10" i="1"/>
  <c r="M10" i="1" s="1"/>
  <c r="L9" i="1"/>
  <c r="M9" i="1" s="1"/>
  <c r="L8" i="1"/>
  <c r="M8" i="1" s="1"/>
  <c r="L7" i="1"/>
  <c r="M7" i="1" s="1"/>
  <c r="L6" i="1"/>
  <c r="M6" i="1" s="1"/>
  <c r="L5" i="1"/>
  <c r="M5" i="1" s="1"/>
  <c r="L4" i="1"/>
  <c r="M4" i="1" s="1"/>
  <c r="L3" i="1"/>
  <c r="M3" i="1" s="1"/>
  <c r="L2" i="1"/>
  <c r="M2" i="1" s="1"/>
</calcChain>
</file>

<file path=xl/sharedStrings.xml><?xml version="1.0" encoding="utf-8"?>
<sst xmlns="http://schemas.openxmlformats.org/spreadsheetml/2006/main" count="665" uniqueCount="399">
  <si>
    <t>PESTLE Domain</t>
  </si>
  <si>
    <t>Stakeholder</t>
  </si>
  <si>
    <t>Stated Interest</t>
  </si>
  <si>
    <t>Candidate MOP(s)</t>
  </si>
  <si>
    <t>Candidate MOE(s)</t>
  </si>
  <si>
    <t>Trajectory-Decision Impact</t>
  </si>
  <si>
    <t>Abstraction Comment</t>
  </si>
  <si>
    <t>Standalone Importance</t>
  </si>
  <si>
    <t>Standalone / Consolidation Rationale</t>
  </si>
  <si>
    <t>Decision Score</t>
  </si>
  <si>
    <t>Recommended Treatment</t>
  </si>
  <si>
    <t>Political</t>
  </si>
  <si>
    <t>Federal Aviation Administration</t>
  </si>
  <si>
    <t>Safe and efficient airspace</t>
  </si>
  <si>
    <t>Hard constraint; Optimization objective; MOE</t>
  </si>
  <si>
    <t>Separation compliance; delay; throughput; sector occupancy</t>
  </si>
  <si>
    <t>NAS safety; efficiency/capacity</t>
  </si>
  <si>
    <t>Yes</t>
  </si>
  <si>
    <t>High operational detail; decompose service-provider vs regulator only where authority differs.</t>
  </si>
  <si>
    <t>High</t>
  </si>
  <si>
    <t>Core trajectory authority/constraint setter.</t>
  </si>
  <si>
    <t>National Transportation Safety Board</t>
  </si>
  <si>
    <t>Prevent accidents</t>
  </si>
  <si>
    <t>MOE</t>
  </si>
  <si>
    <t>Safety-event precursors</t>
  </si>
  <si>
    <t>Accident/incident reduction</t>
  </si>
  <si>
    <t>Indirect</t>
  </si>
  <si>
    <t>Oversight/investigation boundary; minimal operational detail.</t>
  </si>
  <si>
    <t>Low</t>
  </si>
  <si>
    <t>Governance feedback, not an operational trajectory actor.</t>
  </si>
  <si>
    <t>Department of Transportation</t>
  </si>
  <si>
    <t>National transportation policy</t>
  </si>
  <si>
    <t>Optimization objective; MOE</t>
  </si>
  <si>
    <t>Policy compliance; network accessibility/capacity</t>
  </si>
  <si>
    <t>National mobility/public value</t>
  </si>
  <si>
    <t>Coarse policy boundary.</t>
  </si>
  <si>
    <t>Objectives generally flow through FAA/operators.</t>
  </si>
  <si>
    <t>Department of Defense</t>
  </si>
  <si>
    <t>National security and airspace access</t>
  </si>
  <si>
    <t>Special-use airspace availability; mission timing; priority access</t>
  </si>
  <si>
    <t>Mission effectiveness/readiness</t>
  </si>
  <si>
    <t>Model authority, priority rules, reservations, mission needs.</t>
  </si>
  <si>
    <t>Distinct access/priority objectives materially alter trajectories.</t>
  </si>
  <si>
    <t>ICAO</t>
  </si>
  <si>
    <t>International standards</t>
  </si>
  <si>
    <t>Hard constraint; MOE</t>
  </si>
  <si>
    <t>Standards/procedure compliance; interoperability</t>
  </si>
  <si>
    <t>International interoperability/safety</t>
  </si>
  <si>
    <t>Standards/governance boundary unless international ops are central.</t>
  </si>
  <si>
    <t>Medium</t>
  </si>
  <si>
    <t>Distinct source of constraints, not normally operational.</t>
  </si>
  <si>
    <t>Congress and legislatures</t>
  </si>
  <si>
    <t>Economic growth and public accountability</t>
  </si>
  <si>
    <t>Budget/statutory targets</t>
  </si>
  <si>
    <t>Public value; economic growth; accountability</t>
  </si>
  <si>
    <t>Very coarse governance/budget boundary.</t>
  </si>
  <si>
    <t>Aggregate into policy environment unless governance trades are central.</t>
  </si>
  <si>
    <t>State and local governments</t>
  </si>
  <si>
    <t>Airports, jobs, and noise concerns</t>
  </si>
  <si>
    <t>Noise limits; curfews; local operating restrictions</t>
  </si>
  <si>
    <t>Local economic benefit; community acceptability</t>
  </si>
  <si>
    <t>Model local constraints where operationally binding.</t>
  </si>
  <si>
    <t>Standalone where curfews/noise/airport ownership affect trajectories.</t>
  </si>
  <si>
    <t>Militaries</t>
  </si>
  <si>
    <t>Navigable airspace &amp; resources with priority</t>
  </si>
  <si>
    <t>Airspace reservation; mission timing; priority status</t>
  </si>
  <si>
    <t>Mission success/readiness</t>
  </si>
  <si>
    <t>Model mission-user needs and priority/access interfaces.</t>
  </si>
  <si>
    <t>Separate from DoD governance if mission-level trades are studied.</t>
  </si>
  <si>
    <t>Economic</t>
  </si>
  <si>
    <t>Airlines</t>
  </si>
  <si>
    <t>Profitability</t>
  </si>
  <si>
    <t>Optimization objective; Cost/penalty; MOE</t>
  </si>
  <si>
    <t>Fuel; block time; delay; crew/maintenance cost</t>
  </si>
  <si>
    <t>Profitability; network reliability</t>
  </si>
  <si>
    <t>High detail for dispatch/operations; abstract corporate internals.</t>
  </si>
  <si>
    <t>Core trajectory optimizer/operator.</t>
  </si>
  <si>
    <t>Cargo operators</t>
  </si>
  <si>
    <t>Throughput and reliability</t>
  </si>
  <si>
    <t>Block time; OTP; payload; missed sort connection</t>
  </si>
  <si>
    <t>Network throughput; delivery reliability</t>
  </si>
  <si>
    <t>Model network/dispatch constraints.</t>
  </si>
  <si>
    <t>Distinct timing/network economics from passenger airlines.</t>
  </si>
  <si>
    <t>Adjacent Airspace Users</t>
  </si>
  <si>
    <t>Boundary crossing time; demand/capacity; imposed delay</t>
  </si>
  <si>
    <t>Network throughput; fairness/reliability</t>
  </si>
  <si>
    <t>Represent neighboring traffic/ANSP resource coupling.</t>
  </si>
  <si>
    <t>Captures SoS externalities imposed on other users.</t>
  </si>
  <si>
    <t>Aircraft manufacturers</t>
  </si>
  <si>
    <t>Product competitiveness</t>
  </si>
  <si>
    <t>Performance envelope; fuel efficiency; dispatch reliability</t>
  </si>
  <si>
    <t>Product competitiveness/lifecycle value</t>
  </si>
  <si>
    <t>Treat capability as aircraft boundary properties.</t>
  </si>
  <si>
    <t>Vehicle capability matters more than manufacturer actor.</t>
  </si>
  <si>
    <t>Engine manufacturers</t>
  </si>
  <si>
    <t>Product performance and aftermarket revenue</t>
  </si>
  <si>
    <t>Optimization objective; MOP; MOE</t>
  </si>
  <si>
    <t>SFC/fuel flow; thrust limits; temperature margins; cycles</t>
  </si>
  <si>
    <t>Engine lifecycle value/reliability</t>
  </si>
  <si>
    <t>Model engine limits/performance as subsystem parameters.</t>
  </si>
  <si>
    <t>Manufacturer rarely needs operational stakeholder status.</t>
  </si>
  <si>
    <t>Airports</t>
  </si>
  <si>
    <t>Revenue and capacity</t>
  </si>
  <si>
    <t>Runway/gate capacity; taxi time; movements/hour</t>
  </si>
  <si>
    <t>Airport throughput/revenue/connectivity</t>
  </si>
  <si>
    <t>Model airport resources/capacity interfaces.</t>
  </si>
  <si>
    <t>Surface/capacity constraints directly couple to timing.</t>
  </si>
  <si>
    <t>Investors and shareholders</t>
  </si>
  <si>
    <t>Return on investment</t>
  </si>
  <si>
    <t>Operating margin; asset utilization</t>
  </si>
  <si>
    <t>ROI/shareholder value</t>
  </si>
  <si>
    <t>Enterprise objective only.</t>
  </si>
  <si>
    <t>Too abstract unless enterprise finance is in scope.</t>
  </si>
  <si>
    <t>Lessors</t>
  </si>
  <si>
    <t>Return conditions</t>
  </si>
  <si>
    <t>Hard constraint; Cost/penalty; MOE</t>
  </si>
  <si>
    <t>Cycles/hours; maintenance condition; utilization</t>
  </si>
  <si>
    <t>Residual value/lease-return cost</t>
  </si>
  <si>
    <t>Coarse lifecycle constraints/penalties.</t>
  </si>
  <si>
    <t>Mediated through fleet/maintenance policy.</t>
  </si>
  <si>
    <t>Insurers</t>
  </si>
  <si>
    <t>Risk reduction</t>
  </si>
  <si>
    <t>Cost/penalty; MOE</t>
  </si>
  <si>
    <t>Exposure/risk indicators; incident rates</t>
  </si>
  <si>
    <t>Expected loss/insured risk</t>
  </si>
  <si>
    <t>Represent risk pricing coarsely.</t>
  </si>
  <si>
    <t>Safety risk can be captured without insurer behavior.</t>
  </si>
  <si>
    <t>Labor unions</t>
  </si>
  <si>
    <t>Compensation and job security</t>
  </si>
  <si>
    <t>Duty rules; staffing; overtime</t>
  </si>
  <si>
    <t>Worker welfare/employment stability</t>
  </si>
  <si>
    <t>Model contractual rules through crew/operator.</t>
  </si>
  <si>
    <t>Standalone if work-rule tradeoffs are explicit.</t>
  </si>
  <si>
    <t>Fuel suppliers</t>
  </si>
  <si>
    <t>Fuel demand</t>
  </si>
  <si>
    <t>Fuel uplift/demand; fueling time</t>
  </si>
  <si>
    <t>Sales/availability/supply reliability</t>
  </si>
  <si>
    <t>Fuel price/availability as boundary inputs.</t>
  </si>
  <si>
    <t>Fuel is important; supplier objective usually is not.</t>
  </si>
  <si>
    <t>Passengers</t>
  </si>
  <si>
    <t>Affordable travel</t>
  </si>
  <si>
    <t>Fare; delay; travel time; missed connections</t>
  </si>
  <si>
    <t>Affordability/trip utility</t>
  </si>
  <si>
    <t>Aggregate passenger value-of-time/demand.</t>
  </si>
  <si>
    <t>End beneficiary/bearer of optimization outcomes.</t>
  </si>
  <si>
    <t>Social</t>
  </si>
  <si>
    <t>Safety and convenience</t>
  </si>
  <si>
    <t>Delay; connection success; turbulence exposure</t>
  </si>
  <si>
    <t>Door-to-door utility; perceived safety</t>
  </si>
  <si>
    <t>Combine with economic passenger row.</t>
  </si>
  <si>
    <t>Consolidate duplicate stakeholder with multiple objectives.</t>
  </si>
  <si>
    <t>Flight crews</t>
  </si>
  <si>
    <t>Workload and quality of life</t>
  </si>
  <si>
    <t>Hard constraint; Cost/penalty; MOP; MOE</t>
  </si>
  <si>
    <t>Duty time; workload events; reroutes; automation interactions</t>
  </si>
  <si>
    <t>Crew safety; fatigue risk; quality of life</t>
  </si>
  <si>
    <t>Model pilot interaction and operational constraints.</t>
  </si>
  <si>
    <t>Direct participant in intent-to-trajectory chain.</t>
  </si>
  <si>
    <t>Cabin crews</t>
  </si>
  <si>
    <t>Safety and operational effectiveness</t>
  </si>
  <si>
    <t>Hard constraint; MOP; MOE</t>
  </si>
  <si>
    <t>Duty time; turbulence events; turnaround timing</t>
  </si>
  <si>
    <t>Cabin safety/service effectiveness</t>
  </si>
  <si>
    <t>Coarse constraints unless cabin ops are central.</t>
  </si>
  <si>
    <t>Mostly mediated through flight operations.</t>
  </si>
  <si>
    <t>Local communities</t>
  </si>
  <si>
    <t>Noise and environmental impacts</t>
  </si>
  <si>
    <t>DNL/SEL; overflight count; local emissions</t>
  </si>
  <si>
    <t>Community health/acceptability</t>
  </si>
  <si>
    <t>Geographically resolve exposure enough to compare trajectories.</t>
  </si>
  <si>
    <t>Canonical externality stakeholder.</t>
  </si>
  <si>
    <t>Families of passengers</t>
  </si>
  <si>
    <t>Safety</t>
  </si>
  <si>
    <t>Safety proxies inherited from operations</t>
  </si>
  <si>
    <t>Passenger safety assurance</t>
  </si>
  <si>
    <t>Fold into passenger/societal safety.</t>
  </si>
  <si>
    <t>Not operationally distinct from passengers/public.</t>
  </si>
  <si>
    <t>No</t>
  </si>
  <si>
    <t>Tourism industry</t>
  </si>
  <si>
    <t>Mobility and economic activity</t>
  </si>
  <si>
    <t>Seat capacity; connectivity; frequency</t>
  </si>
  <si>
    <t>Tourism access/economic activity</t>
  </si>
  <si>
    <t>Represent via demand/connectivity if needed.</t>
  </si>
  <si>
    <t>Downstream of airline/airport performance.</t>
  </si>
  <si>
    <t>Business travelers</t>
  </si>
  <si>
    <t>Schedule reliability</t>
  </si>
  <si>
    <t>On-time arrival; connection success; travel-time variance</t>
  </si>
  <si>
    <t>Business trip utility/productivity</t>
  </si>
  <si>
    <t>Passenger segment, not necessarily separate actor.</t>
  </si>
  <si>
    <t>Use as passenger segment only if heterogeneity matters.</t>
  </si>
  <si>
    <t>Trainers &amp; Educators</t>
  </si>
  <si>
    <t>Regulatory stability &amp; standard definitions</t>
  </si>
  <si>
    <t>Training changes; procedure stability</t>
  </si>
  <si>
    <t>Training effectiveness/workforce readiness</t>
  </si>
  <si>
    <t>Lifecycle/support stakeholder.</t>
  </si>
  <si>
    <t>Minimal trajectory coupling.</t>
  </si>
  <si>
    <t>Technical</t>
  </si>
  <si>
    <t>Aircraft systems engineers</t>
  </si>
  <si>
    <t>System performance</t>
  </si>
  <si>
    <t>MOP; Optimization objective</t>
  </si>
  <si>
    <t>Guidance accuracy; compute load; performance margins</t>
  </si>
  <si>
    <t>Aircraft/system mission performance</t>
  </si>
  <si>
    <t>Allocate requirements to systems, not engineer persona.</t>
  </si>
  <si>
    <t>System objective matters more than stakeholder identity.</t>
  </si>
  <si>
    <t>Software developers</t>
  </si>
  <si>
    <t>Correct implementation</t>
  </si>
  <si>
    <t>Hard constraint; MOP</t>
  </si>
  <si>
    <t>Defect rate; test coverage; timing/resource use</t>
  </si>
  <si>
    <t>Software assurance/correctness</t>
  </si>
  <si>
    <t>Lifecycle stakeholder; abstract from operations.</t>
  </si>
  <si>
    <t>Not an operational trade-study actor.</t>
  </si>
  <si>
    <t>Maintenance personnel</t>
  </si>
  <si>
    <t>Maintainability</t>
  </si>
  <si>
    <t>Cost/penalty; MOP; MOE</t>
  </si>
  <si>
    <t>Maintenance hours; cycles; exceedance events; wear</t>
  </si>
  <si>
    <t>Availability; lifecycle cost; dispatch reliability</t>
  </si>
  <si>
    <t>Represent maintenance consequences/constraints.</t>
  </si>
  <si>
    <t>Standalone if lifecycle cost is an explicit trade dimension.</t>
  </si>
  <si>
    <t>Air traffic controllers</t>
  </si>
  <si>
    <t>Predictable aircraft behavior</t>
  </si>
  <si>
    <t>Safe/manageable traffic flow</t>
  </si>
  <si>
    <t>High detail in clearances, conformance, workload.</t>
  </si>
  <si>
    <t>Central actor in trajectory negotiation/execution.</t>
  </si>
  <si>
    <t>Dispatchers</t>
  </si>
  <si>
    <t>Operational optimization</t>
  </si>
  <si>
    <t>Optimization objective; Cost/penalty; MOP; MOE</t>
  </si>
  <si>
    <t>Fuel; time; route cost; weather exposure; schedule recovery</t>
  </si>
  <si>
    <t>Flight/network efficiency and reliability</t>
  </si>
  <si>
    <t>High detail in planning and airline objective function.</t>
  </si>
  <si>
    <t>Direct decision-maker in intent generation.</t>
  </si>
  <si>
    <t>Avionics suppliers</t>
  </si>
  <si>
    <t>System integration</t>
  </si>
  <si>
    <t>Interface compliance; latency; accuracy; interoperability</t>
  </si>
  <si>
    <t>Integrated capability/reliability</t>
  </si>
  <si>
    <t>Model interface constraints; abstract supplier org.</t>
  </si>
  <si>
    <t>Technical constraints matter more than supplier identity.</t>
  </si>
  <si>
    <t>Researchers and universities</t>
  </si>
  <si>
    <t>Innovation</t>
  </si>
  <si>
    <t>TRL; demonstrated performance improvement</t>
  </si>
  <si>
    <t>Knowledge/innovation impact</t>
  </si>
  <si>
    <t>Outside operational boundary.</t>
  </si>
  <si>
    <t>Research ecosystem, not trajectory stakeholder.</t>
  </si>
  <si>
    <t>Certification engineers</t>
  </si>
  <si>
    <t>Verification evidence</t>
  </si>
  <si>
    <t>Requirements coverage; verification completeness; assurance level</t>
  </si>
  <si>
    <t>Certification confidence/compliance</t>
  </si>
  <si>
    <t>Lifecycle assurance boundary.</t>
  </si>
  <si>
    <t>Certification constrains deployment, not day-of-op trajectory.</t>
  </si>
  <si>
    <t>Legal</t>
  </si>
  <si>
    <t>Certification authorities</t>
  </si>
  <si>
    <t>Regulatory compliance</t>
  </si>
  <si>
    <t>Airworthiness/operational compliance</t>
  </si>
  <si>
    <t>Acceptable safety/compliance</t>
  </si>
  <si>
    <t>Rules as constraints; split from service provider if needed.</t>
  </si>
  <si>
    <t>Could consolidate with FAA/EASA regulatory role.</t>
  </si>
  <si>
    <t>Courts</t>
  </si>
  <si>
    <t>Liability resolution</t>
  </si>
  <si>
    <t>Claims/case outcomes</t>
  </si>
  <si>
    <t>Liability resolution/accountability</t>
  </si>
  <si>
    <t>External governance boundary.</t>
  </si>
  <si>
    <t>No operational trajectory role.</t>
  </si>
  <si>
    <t>Aviation lawyers</t>
  </si>
  <si>
    <t>Compliance and risk</t>
  </si>
  <si>
    <t>Legal exposure/compliance findings</t>
  </si>
  <si>
    <t>Legal risk</t>
  </si>
  <si>
    <t>External advisory role.</t>
  </si>
  <si>
    <t>No standalone need for trajectory optimization.</t>
  </si>
  <si>
    <t>Labor regulators</t>
  </si>
  <si>
    <t>Worker protections</t>
  </si>
  <si>
    <t>Duty/rest/workplace compliance</t>
  </si>
  <si>
    <t>Worker safety/fairness</t>
  </si>
  <si>
    <t>Rules as constraints on operators/crews.</t>
  </si>
  <si>
    <t>Can be represented without regulator behavior.</t>
  </si>
  <si>
    <t>Privacy regulators</t>
  </si>
  <si>
    <t>Passenger data protection</t>
  </si>
  <si>
    <t>Data-use/access compliance</t>
  </si>
  <si>
    <t>Privacy protection</t>
  </si>
  <si>
    <t>Boundary constraint.</t>
  </si>
  <si>
    <t>Weak trajectory coupling unless data sharing is central.</t>
  </si>
  <si>
    <t>International treaty organizations</t>
  </si>
  <si>
    <t>Harmonization of standards</t>
  </si>
  <si>
    <t>Treaty/standard compliance; interoperability</t>
  </si>
  <si>
    <t>International harmonization</t>
  </si>
  <si>
    <t>Coarse governance boundary.</t>
  </si>
  <si>
    <t>Often overlaps ICAO; consolidate.</t>
  </si>
  <si>
    <t>Environmental</t>
  </si>
  <si>
    <t>Environmental advocacy groups</t>
  </si>
  <si>
    <t>Reduced emissions</t>
  </si>
  <si>
    <t>CO2/NOx/contrail proxies</t>
  </si>
  <si>
    <t>Climate/environmental impact reduction</t>
  </si>
  <si>
    <t>Preference/policy boundary; little internal detail.</t>
  </si>
  <si>
    <t>Can be explicit preference-holder or societal objective.</t>
  </si>
  <si>
    <t>Reduced noise</t>
  </si>
  <si>
    <t>Noise exposure; overflight count</t>
  </si>
  <si>
    <t>Community noise burden/acceptability</t>
  </si>
  <si>
    <t>Combine with social local-community row.</t>
  </si>
  <si>
    <t>Direct trajectory-sensitive externality.</t>
  </si>
  <si>
    <t>Climate organizations</t>
  </si>
  <si>
    <t>Decarbonization</t>
  </si>
  <si>
    <t>CO2e; non-CO2 climate proxies</t>
  </si>
  <si>
    <t>Aviation climate impact</t>
  </si>
  <si>
    <t>Combine with advocacy if stakeholder proliferation is a concern.</t>
  </si>
  <si>
    <t>Often redundant with environmental/government climate objectives.</t>
  </si>
  <si>
    <t>Airport authorities</t>
  </si>
  <si>
    <t>Sustainable operations</t>
  </si>
  <si>
    <t>Hard constraint; Optimization objective; MOP; MOE</t>
  </si>
  <si>
    <t>Local emissions; energy; surface delay; noise</t>
  </si>
  <si>
    <t>Sustainable airport operations</t>
  </si>
  <si>
    <t>Combine with Airports unless authority/operator distinction matters.</t>
  </si>
  <si>
    <t>Future generations (societal proxy)</t>
  </si>
  <si>
    <t>Long-term sustainability</t>
  </si>
  <si>
    <t>Lifecycle CO2e/climate forcing proxies</t>
  </si>
  <si>
    <t>Intergenerational sustainability</t>
  </si>
  <si>
    <t>Use as value perspective, not active actor.</t>
  </si>
  <si>
    <t>Better modeled as an MOE than stakeholder block.</t>
  </si>
  <si>
    <t>Governments</t>
  </si>
  <si>
    <t>Emissions targets</t>
  </si>
  <si>
    <t>Fleet/sector emissions vs target/budget</t>
  </si>
  <si>
    <t>Policy target attainment/decarbonization</t>
  </si>
  <si>
    <t>Allocate to specific government entities.</t>
  </si>
  <si>
    <t>Important objective, but 'governments' is too broad.</t>
  </si>
  <si>
    <t>Capstone Stakeholder Decision Guide</t>
  </si>
  <si>
    <t>Purpose</t>
  </si>
  <si>
    <t>Use the assessment sheet to decide whether an entity needs its own stakeholder block/viewpoint, should be consolidated with another stakeholder, or should enter the model only as a boundary constraint/objective.</t>
  </si>
  <si>
    <t>Criterion</t>
  </si>
  <si>
    <t>Interpretation</t>
  </si>
  <si>
    <t>High = distinct objectives/authority/externalities worth preserving; Medium = context-dependent; Low = usually better represented through another stakeholder or as a model input.</t>
  </si>
  <si>
    <t>Yes = route/altitude/speed/timing directly changes its objective; Indirect = effect is mediated by another operational decision; No = little meaningful coupling to trajectory trades.</t>
  </si>
  <si>
    <t>Importance: High=3, Medium=2, Low=1; trajectory impact: Yes=2, Indirect=1, No=0.</t>
  </si>
  <si>
    <t>5 = Standalone; 3–4 = Consider / Consolidate; 1–2 = Boundary input / omit.</t>
  </si>
  <si>
    <t>Modeling principle</t>
  </si>
  <si>
    <t>A stakeholder is more useful as standalone when it has a distinct objective function, decision authority, constraint-setting authority, or bears a trajectory externality that would otherwise disappear when aggregated.</t>
  </si>
  <si>
    <t>Duplicate candidates</t>
  </si>
  <si>
    <t>Passengers; Local communities; Airports/Airport authorities; FAA/Certification authorities; ICAO/International treaty organizations; DoD/Militaries; Environmental advocacy/Climate organizations; Governments should be allocated to specific entities.</t>
  </si>
  <si>
    <t>Separation; intervention count; complexity/workload; conformance; sector occupancy</t>
  </si>
  <si>
    <t>Classification</t>
  </si>
  <si>
    <t>Trajectory Sensitivity</t>
  </si>
  <si>
    <t>Consolidate with Airports.</t>
  </si>
  <si>
    <t>capability allocated to operators/ATM</t>
  </si>
  <si>
    <t>absorb/abstract</t>
  </si>
  <si>
    <t>Decision Support</t>
  </si>
  <si>
    <t>context constraint</t>
  </si>
  <si>
    <t>Maintenance Suppliers</t>
  </si>
  <si>
    <t>Decide behavior of aircraft and transport information from plan to enaction.</t>
  </si>
  <si>
    <t>Crew</t>
  </si>
  <si>
    <t>Military</t>
  </si>
  <si>
    <t>Modelling may influence KPIs sufficient to change decisions and can't be absorbed into another in a consistent way (regulatory/legal, or otherwise)</t>
  </si>
  <si>
    <t>decided either externally, so they're a constraint, or is sufficiently outside the scope of the project (e.g. airspace region definitions and how allocation determines congestion &amp; workload).</t>
  </si>
  <si>
    <t>Infra / Airspace Resources</t>
  </si>
  <si>
    <t>Info Systems</t>
  </si>
  <si>
    <t>Encompasses all sub-systems and is the 'final entity' whose behavior determines KPIs</t>
  </si>
  <si>
    <t>Aircraft</t>
  </si>
  <si>
    <t>A/C Systems</t>
  </si>
  <si>
    <t>Operators decide operations and encompass Airlines and other actors, though not all have the same internal composition</t>
  </si>
  <si>
    <t>Operators</t>
  </si>
  <si>
    <t>Airline</t>
  </si>
  <si>
    <t>Flight Ops</t>
  </si>
  <si>
    <t>Airports represent their own pseudo-ecosystem, which operates largely independently, but which has a great effect on KPIs</t>
  </si>
  <si>
    <t>Airport(s)</t>
  </si>
  <si>
    <t>Airport</t>
  </si>
  <si>
    <t>Airport Ops</t>
  </si>
  <si>
    <t>A generic term applied to all organizations and divisions responsible for actively directing traffic.</t>
  </si>
  <si>
    <t>ATC/ANSP</t>
  </si>
  <si>
    <t>ATC</t>
  </si>
  <si>
    <t>Airspace Management</t>
  </si>
  <si>
    <t>Regulatory / Legal</t>
  </si>
  <si>
    <t>Envinronmental/Societal</t>
  </si>
  <si>
    <t>Governance</t>
  </si>
  <si>
    <t>Rationale</t>
  </si>
  <si>
    <t>Decision</t>
  </si>
  <si>
    <t>Stakeholder Ontology</t>
  </si>
  <si>
    <t>SOI</t>
  </si>
  <si>
    <t>Candidate Systems</t>
  </si>
  <si>
    <t>could be incoporated in operators, but I will keep that Part 121 scheduled passenger airlines due to the complexity of their operations and that they represent the vast majority of air traffic.</t>
  </si>
  <si>
    <t>Project Action</t>
  </si>
  <si>
    <t>Boundary Actor</t>
  </si>
  <si>
    <t>Modelled System</t>
  </si>
  <si>
    <t>Absorbed</t>
  </si>
  <si>
    <t>boundary actor</t>
  </si>
  <si>
    <t>Impact can be modelled as part of airline operations; Likely limited to cost parameter and not influencing KPIs dynamically.</t>
  </si>
  <si>
    <t>ATC / ANSP</t>
  </si>
  <si>
    <t>info exchange will be an abstraction/background-level info. "data"/"info" will be exchanged between systems and where channels/mechanisms are important/relevant, I will add a decision activity to specify through which channel.</t>
  </si>
  <si>
    <t>Flight Crew</t>
  </si>
  <si>
    <t>it encompasses the other two and is the channel(s) through which all social organizations will influence KPIs, but they aren't modified by the decisions I believe I'll be exploring.  regulation is held fixed in the baseline, with sensitivity sweeps as an optional extension.</t>
  </si>
  <si>
    <t>N/A</t>
  </si>
  <si>
    <t>Refined:</t>
  </si>
  <si>
    <t>Candidate</t>
  </si>
  <si>
    <t>Revised rationale</t>
  </si>
  <si>
    <t>Sets the legal, regulatory, and policy context through which societal and environmental objectives influence the modeled systems. Governance is held fixed in the baseline because the decisions under study do not modify it; regulatory sensitivity sweeps are an optional extension.</t>
  </si>
  <si>
    <t>Part 121 scheduled passenger operators are modeled because their dispatch, scheduling, routing, and recovery decisions are dynamically coupled to RPM, cost, safety, workload, and schedule-performance measures. Other operators are represented only as background traffic where their presence materially affects a selected KPI.</t>
  </si>
  <si>
    <t>Use the passenger rationale above.</t>
  </si>
  <si>
    <t>Military operations are outside the modeled operator population. Where military traffic or special-use airspace materially affects civil safety, capacity, or workload, it is represented as an external constraint or background scenario input rather than decomposed as an operator system.</t>
  </si>
  <si>
    <t>Context Constraint</t>
  </si>
  <si>
    <t>Supplier-side maintenance cost, availability, and turnaround effects are represented as exogenous parameters. Airline maintenance planning, deferral, and release decisions remain part of Flight Operations.</t>
  </si>
  <si>
    <t>Airspace structure, navigation infrastructure, and shared resources are externally determined constraints in the baseline. Their effects may be varied parametrically when testing congestion, workload, safety, or capacity sensitivity.</t>
  </si>
  <si>
    <t>Absorbed / Abstracted</t>
  </si>
  <si>
    <t>Information is modeled as exchanges between systems. The specific channel is represented only when channel reliability, latency, or capability changes the decision or KPI.</t>
  </si>
  <si>
    <t>Decision-support capability is allocated to the operator or ATM context rather than treated as an independent stakeholder system; its recommendations and information dependencies remain modelable.</t>
  </si>
  <si>
    <t>Include an entity as a modeled system when it has distinct decision authority or execution behavior that is dynamically coupled to in-scope decisions and materially affects selected KPIs. Represent an entity as a boundary actor when it supplies objectives, demand, feedback, or constraints without being decomposed as a decision mechanism. Represent exogenous influences as parameters or scenario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</si>
</sst>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sz val="11"/>
      <color theme="1"/>
      <name val="Calibri"/>
      <family val="2"/>
      <scheme val="minor"/>
    </font>
    <font>
      <sz val="11"/>
      <color theme="1"/>
      <name val="Calibri"/>
      <family val="2"/>
      <scheme val="minor"/>
    </font>
    <font>
      <sz val="11"/>
      <color theme="1"/>
      <name val="Calibri"/>
      <family val="2"/>
      <scheme val="minor"/>
    </font>
    <font>
      <b/>
      <sz val="11"/>
      <color rgb="FFFFFFFF"/>
      <name val="Carlito"/>
    </font>
    <font>
      <b/>
      <sz val="16"/>
      <color rgb="FFFFFFFF"/>
      <name val="Carlito"/>
    </font>
    <font>
      <b/>
      <sz val="11"/>
      <name val="Carlito"/>
    </font>
    <font>
      <b/>
      <sz val="11"/>
      <color theme="1"/>
      <name val="Calibri"/>
      <family val="2"/>
      <scheme val="minor"/>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theme="2" tint="-0.249977111117893"/>
        <bgColor indexed="64"/>
      </patternFill>
    </fill>
    <fill>
      <patternFill patternType="solid">
        <fgColor theme="6" tint="0.59999389629810485"/>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6">
    <xf numFmtId="0" fontId="0" fillId="0" borderId="0" xfId="0"/>
    <xf numFmtId="0" fontId="4" fillId="2" borderId="0" xfId="0" applyFont="1" applyFill="1" applyAlignment="1">
      <alignment vertical="center" wrapText="1"/>
    </xf>
    <xf numFmtId="0" fontId="0" fillId="0" borderId="0" xfId="0" applyAlignment="1">
      <alignment wrapText="1"/>
    </xf>
    <xf numFmtId="0" fontId="6" fillId="3" borderId="0" xfId="0" applyFont="1" applyFill="1" applyAlignment="1">
      <alignment wrapText="1"/>
    </xf>
    <xf numFmtId="0" fontId="4" fillId="2" borderId="0" xfId="0" applyFont="1" applyFill="1" applyAlignment="1">
      <alignment vertical="center"/>
    </xf>
    <xf numFmtId="0" fontId="3" fillId="0" borderId="0" xfId="1" applyAlignment="1">
      <alignment wrapText="1"/>
    </xf>
    <xf numFmtId="0" fontId="3" fillId="0" borderId="1" xfId="1" applyBorder="1" applyAlignment="1">
      <alignment wrapText="1"/>
    </xf>
    <xf numFmtId="0" fontId="3" fillId="5" borderId="0" xfId="1" applyFill="1" applyAlignment="1">
      <alignment wrapText="1"/>
    </xf>
    <xf numFmtId="0" fontId="3" fillId="5" borderId="1" xfId="1" applyFill="1" applyBorder="1" applyAlignment="1">
      <alignment wrapText="1"/>
    </xf>
    <xf numFmtId="0" fontId="7" fillId="6" borderId="1" xfId="1" applyFont="1" applyFill="1" applyBorder="1" applyAlignment="1">
      <alignment wrapText="1"/>
    </xf>
    <xf numFmtId="0" fontId="2" fillId="5" borderId="0" xfId="1" applyFont="1" applyFill="1" applyAlignment="1">
      <alignment wrapText="1"/>
    </xf>
    <xf numFmtId="0" fontId="2" fillId="0" borderId="0" xfId="1" applyFont="1" applyAlignment="1">
      <alignment wrapText="1"/>
    </xf>
    <xf numFmtId="0" fontId="2" fillId="0" borderId="1" xfId="1" applyFont="1" applyBorder="1" applyAlignment="1">
      <alignment wrapText="1"/>
    </xf>
    <xf numFmtId="0" fontId="5" fillId="2" borderId="0" xfId="0" applyFont="1" applyFill="1" applyAlignment="1">
      <alignment horizontal="center"/>
    </xf>
    <xf numFmtId="0" fontId="1" fillId="0" borderId="0" xfId="1" applyFont="1" applyAlignment="1">
      <alignment wrapText="1"/>
    </xf>
    <xf numFmtId="0" fontId="1" fillId="4" borderId="1" xfId="1" applyFont="1" applyFill="1" applyBorder="1" applyAlignment="1">
      <alignment wrapText="1"/>
    </xf>
  </cellXfs>
  <cellStyles count="2">
    <cellStyle name="Normal" xfId="0" builtinId="0"/>
    <cellStyle name="Normal 2" xfId="1" xr:uid="{3EB05A31-C3B2-4E4E-8A77-433CC7A006A5}"/>
  </cellStyles>
  <dxfs count="6">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alignment horizontal="general" textRotation="0" wrapText="0" indent="0" justifyLastLine="0" shrinkToFit="0" readingOrder="0"/>
    </dxf>
    <dxf>
      <alignment horizontal="general"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akeholderAssessment" displayName="StakeholderAssessment" ref="A1:M49" totalsRowShown="0">
  <autoFilter ref="A1:M49" xr:uid="{00000000-000C-0000-FFFF-FFFF00000000}"/>
  <tableColumns count="13">
    <tableColumn id="1" xr3:uid="{00000000-0010-0000-0000-000001000000}" name="PESTLE Domain"/>
    <tableColumn id="2" xr3:uid="{00000000-0010-0000-0000-000002000000}" name="Stakeholder"/>
    <tableColumn id="3" xr3:uid="{00000000-0010-0000-0000-000003000000}" name="Stated Interest"/>
    <tableColumn id="4" xr3:uid="{00000000-0010-0000-0000-000004000000}" name="Classification"/>
    <tableColumn id="5" xr3:uid="{00000000-0010-0000-0000-000005000000}" name="Candidate MOP(s)"/>
    <tableColumn id="6" xr3:uid="{00000000-0010-0000-0000-000006000000}" name="Candidate MOE(s)"/>
    <tableColumn id="7" xr3:uid="{00000000-0010-0000-0000-000007000000}" name="Trajectory-Decision Impact"/>
    <tableColumn id="13" xr3:uid="{529CB380-7677-4B03-96BF-BC4DF67379D3}" name="Trajectory Sensitivity" dataDxfId="5"/>
    <tableColumn id="8" xr3:uid="{00000000-0010-0000-0000-000008000000}" name="Abstraction Comment" dataDxfId="4"/>
    <tableColumn id="9" xr3:uid="{00000000-0010-0000-0000-000009000000}" name="Standalone Importance"/>
    <tableColumn id="10" xr3:uid="{00000000-0010-0000-0000-00000A000000}" name="Standalone / Consolidation Rationale" dataDxfId="3"/>
    <tableColumn id="11" xr3:uid="{00000000-0010-0000-0000-00000B000000}" name="Decision Score"/>
    <tableColumn id="12" xr3:uid="{00000000-0010-0000-0000-00000C000000}" name="Recommended Treatment"/>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9"/>
  <sheetViews>
    <sheetView topLeftCell="A32" zoomScale="95" workbookViewId="0">
      <pane xSplit="2" topLeftCell="E1" activePane="topRight" state="frozen"/>
      <selection pane="topRight" activeCell="B34" sqref="B34"/>
    </sheetView>
  </sheetViews>
  <sheetFormatPr defaultRowHeight="14"/>
  <cols>
    <col min="1" max="1" width="15.5" bestFit="1" customWidth="1"/>
    <col min="2" max="2" width="31.25" bestFit="1" customWidth="1"/>
    <col min="3" max="3" width="39.25" bestFit="1" customWidth="1"/>
    <col min="4" max="4" width="43.33203125" bestFit="1" customWidth="1"/>
    <col min="5" max="5" width="40.4140625" customWidth="1"/>
    <col min="6" max="6" width="41" bestFit="1" customWidth="1"/>
    <col min="7" max="7" width="20.08203125" customWidth="1"/>
    <col min="8" max="8" width="19.4140625" customWidth="1"/>
    <col min="9" max="9" width="29.1640625" customWidth="1"/>
    <col min="10" max="10" width="21.58203125" bestFit="1" customWidth="1"/>
    <col min="11" max="11" width="58.83203125" customWidth="1"/>
    <col min="12" max="12" width="14.5" bestFit="1" customWidth="1"/>
    <col min="13" max="13" width="24.08203125" bestFit="1" customWidth="1"/>
  </cols>
  <sheetData>
    <row r="1" spans="1:13" ht="28">
      <c r="A1" s="1" t="s">
        <v>0</v>
      </c>
      <c r="B1" s="1" t="s">
        <v>1</v>
      </c>
      <c r="C1" s="1" t="s">
        <v>2</v>
      </c>
      <c r="D1" s="1" t="s">
        <v>335</v>
      </c>
      <c r="E1" s="1" t="s">
        <v>3</v>
      </c>
      <c r="F1" s="1" t="s">
        <v>4</v>
      </c>
      <c r="G1" s="1" t="s">
        <v>5</v>
      </c>
      <c r="H1" s="1" t="s">
        <v>336</v>
      </c>
      <c r="I1" s="4" t="s">
        <v>6</v>
      </c>
      <c r="J1" s="1" t="s">
        <v>7</v>
      </c>
      <c r="K1" s="4" t="s">
        <v>8</v>
      </c>
      <c r="L1" s="1" t="s">
        <v>9</v>
      </c>
      <c r="M1" s="1" t="s">
        <v>10</v>
      </c>
    </row>
    <row r="2" spans="1:13" ht="28">
      <c r="A2" s="2" t="s">
        <v>11</v>
      </c>
      <c r="B2" s="2" t="s">
        <v>12</v>
      </c>
      <c r="C2" s="2" t="s">
        <v>13</v>
      </c>
      <c r="D2" s="2" t="s">
        <v>14</v>
      </c>
      <c r="E2" s="2" t="s">
        <v>15</v>
      </c>
      <c r="F2" s="2" t="s">
        <v>16</v>
      </c>
      <c r="G2" s="2" t="s">
        <v>177</v>
      </c>
      <c r="H2" s="2" t="s">
        <v>26</v>
      </c>
      <c r="I2" t="s">
        <v>18</v>
      </c>
      <c r="J2" s="2" t="s">
        <v>19</v>
      </c>
      <c r="K2" t="s">
        <v>20</v>
      </c>
      <c r="L2" s="2">
        <f t="shared" ref="L2:L32" si="0">IF(J2="High",3,IF(J2="Medium",2,1))+IF(G2="Yes",2,IF(G2="Indirect",1,0))</f>
        <v>3</v>
      </c>
      <c r="M2" s="2" t="str">
        <f t="shared" ref="M2:M32" si="1">IF(L2&gt;=5,"Standalone",IF(L2&gt;=3,"Consider / Consolidate","Boundary input / omit"))</f>
        <v>Consider / Consolidate</v>
      </c>
    </row>
    <row r="3" spans="1:13" ht="14" customHeight="1">
      <c r="A3" s="2" t="s">
        <v>11</v>
      </c>
      <c r="B3" s="2" t="s">
        <v>21</v>
      </c>
      <c r="C3" s="2" t="s">
        <v>22</v>
      </c>
      <c r="D3" s="2" t="s">
        <v>23</v>
      </c>
      <c r="E3" s="2" t="s">
        <v>24</v>
      </c>
      <c r="F3" s="2" t="s">
        <v>25</v>
      </c>
      <c r="G3" s="2" t="s">
        <v>177</v>
      </c>
      <c r="H3" s="2" t="s">
        <v>26</v>
      </c>
      <c r="I3" t="s">
        <v>27</v>
      </c>
      <c r="J3" s="2" t="s">
        <v>28</v>
      </c>
      <c r="K3" t="s">
        <v>29</v>
      </c>
      <c r="L3" s="2">
        <f t="shared" si="0"/>
        <v>1</v>
      </c>
      <c r="M3" s="2" t="str">
        <f t="shared" si="1"/>
        <v>Boundary input / omit</v>
      </c>
    </row>
    <row r="4" spans="1:13">
      <c r="A4" s="2" t="s">
        <v>11</v>
      </c>
      <c r="B4" s="2" t="s">
        <v>30</v>
      </c>
      <c r="C4" s="2" t="s">
        <v>31</v>
      </c>
      <c r="D4" s="2" t="s">
        <v>32</v>
      </c>
      <c r="E4" s="2" t="s">
        <v>33</v>
      </c>
      <c r="F4" s="2" t="s">
        <v>34</v>
      </c>
      <c r="G4" s="2" t="s">
        <v>177</v>
      </c>
      <c r="H4" s="2" t="s">
        <v>26</v>
      </c>
      <c r="I4" t="s">
        <v>35</v>
      </c>
      <c r="J4" s="2" t="s">
        <v>28</v>
      </c>
      <c r="K4" t="s">
        <v>36</v>
      </c>
      <c r="L4" s="2">
        <f t="shared" si="0"/>
        <v>1</v>
      </c>
      <c r="M4" s="2" t="str">
        <f t="shared" si="1"/>
        <v>Boundary input / omit</v>
      </c>
    </row>
    <row r="5" spans="1:13" ht="28">
      <c r="A5" s="2" t="s">
        <v>11</v>
      </c>
      <c r="B5" s="2" t="s">
        <v>37</v>
      </c>
      <c r="C5" s="2" t="s">
        <v>38</v>
      </c>
      <c r="D5" s="2" t="s">
        <v>14</v>
      </c>
      <c r="E5" s="2" t="s">
        <v>39</v>
      </c>
      <c r="F5" s="2" t="s">
        <v>40</v>
      </c>
      <c r="G5" s="2" t="s">
        <v>177</v>
      </c>
      <c r="H5" s="2" t="s">
        <v>26</v>
      </c>
      <c r="I5" t="s">
        <v>41</v>
      </c>
      <c r="J5" s="2" t="s">
        <v>28</v>
      </c>
      <c r="K5" t="s">
        <v>42</v>
      </c>
      <c r="L5" s="2">
        <f t="shared" si="0"/>
        <v>1</v>
      </c>
      <c r="M5" s="2" t="str">
        <f t="shared" si="1"/>
        <v>Boundary input / omit</v>
      </c>
    </row>
    <row r="6" spans="1:13">
      <c r="A6" s="2" t="s">
        <v>11</v>
      </c>
      <c r="B6" s="2" t="s">
        <v>43</v>
      </c>
      <c r="C6" s="2" t="s">
        <v>44</v>
      </c>
      <c r="D6" s="2" t="s">
        <v>45</v>
      </c>
      <c r="E6" s="2" t="s">
        <v>46</v>
      </c>
      <c r="F6" s="2" t="s">
        <v>47</v>
      </c>
      <c r="G6" s="2" t="s">
        <v>26</v>
      </c>
      <c r="H6" s="2" t="s">
        <v>26</v>
      </c>
      <c r="I6" t="s">
        <v>48</v>
      </c>
      <c r="J6" s="2" t="s">
        <v>49</v>
      </c>
      <c r="K6" t="s">
        <v>50</v>
      </c>
      <c r="L6" s="2">
        <f t="shared" si="0"/>
        <v>3</v>
      </c>
      <c r="M6" s="2" t="str">
        <f t="shared" si="1"/>
        <v>Consider / Consolidate</v>
      </c>
    </row>
    <row r="7" spans="1:13">
      <c r="A7" s="2" t="s">
        <v>11</v>
      </c>
      <c r="B7" s="2" t="s">
        <v>51</v>
      </c>
      <c r="C7" s="2" t="s">
        <v>52</v>
      </c>
      <c r="D7" s="2" t="s">
        <v>32</v>
      </c>
      <c r="E7" s="2" t="s">
        <v>53</v>
      </c>
      <c r="F7" s="2" t="s">
        <v>54</v>
      </c>
      <c r="G7" s="2" t="s">
        <v>177</v>
      </c>
      <c r="H7" s="2" t="s">
        <v>26</v>
      </c>
      <c r="I7" t="s">
        <v>55</v>
      </c>
      <c r="J7" s="2" t="s">
        <v>28</v>
      </c>
      <c r="K7" t="s">
        <v>56</v>
      </c>
      <c r="L7" s="2">
        <f t="shared" si="0"/>
        <v>1</v>
      </c>
      <c r="M7" s="2" t="str">
        <f t="shared" si="1"/>
        <v>Boundary input / omit</v>
      </c>
    </row>
    <row r="8" spans="1:13">
      <c r="A8" s="2" t="s">
        <v>11</v>
      </c>
      <c r="B8" s="2" t="s">
        <v>57</v>
      </c>
      <c r="C8" s="2" t="s">
        <v>58</v>
      </c>
      <c r="D8" s="2" t="s">
        <v>14</v>
      </c>
      <c r="E8" s="2" t="s">
        <v>59</v>
      </c>
      <c r="F8" s="2" t="s">
        <v>60</v>
      </c>
      <c r="G8" s="2" t="s">
        <v>177</v>
      </c>
      <c r="H8" s="2" t="s">
        <v>26</v>
      </c>
      <c r="I8" t="s">
        <v>61</v>
      </c>
      <c r="J8" s="2" t="s">
        <v>49</v>
      </c>
      <c r="K8" t="s">
        <v>62</v>
      </c>
      <c r="L8" s="2">
        <f t="shared" si="0"/>
        <v>2</v>
      </c>
      <c r="M8" s="2" t="str">
        <f t="shared" si="1"/>
        <v>Boundary input / omit</v>
      </c>
    </row>
    <row r="9" spans="1:13" ht="28">
      <c r="A9" s="2" t="s">
        <v>11</v>
      </c>
      <c r="B9" s="2" t="s">
        <v>63</v>
      </c>
      <c r="C9" s="2" t="s">
        <v>64</v>
      </c>
      <c r="D9" s="2" t="s">
        <v>14</v>
      </c>
      <c r="E9" s="2" t="s">
        <v>65</v>
      </c>
      <c r="F9" s="2" t="s">
        <v>66</v>
      </c>
      <c r="G9" s="2" t="s">
        <v>17</v>
      </c>
      <c r="H9" s="2" t="s">
        <v>26</v>
      </c>
      <c r="I9" t="s">
        <v>67</v>
      </c>
      <c r="J9" s="2" t="s">
        <v>19</v>
      </c>
      <c r="K9" t="s">
        <v>68</v>
      </c>
      <c r="L9" s="2">
        <f t="shared" si="0"/>
        <v>5</v>
      </c>
      <c r="M9" s="2" t="str">
        <f t="shared" si="1"/>
        <v>Standalone</v>
      </c>
    </row>
    <row r="10" spans="1:13">
      <c r="A10" s="2" t="s">
        <v>69</v>
      </c>
      <c r="B10" s="2" t="s">
        <v>70</v>
      </c>
      <c r="C10" s="2" t="s">
        <v>71</v>
      </c>
      <c r="D10" s="2" t="s">
        <v>72</v>
      </c>
      <c r="E10" s="2" t="s">
        <v>73</v>
      </c>
      <c r="F10" s="2" t="s">
        <v>74</v>
      </c>
      <c r="G10" s="2" t="s">
        <v>17</v>
      </c>
      <c r="H10" s="2" t="s">
        <v>17</v>
      </c>
      <c r="I10" t="s">
        <v>75</v>
      </c>
      <c r="J10" s="2" t="s">
        <v>19</v>
      </c>
      <c r="K10" t="s">
        <v>76</v>
      </c>
      <c r="L10" s="2">
        <f t="shared" si="0"/>
        <v>5</v>
      </c>
      <c r="M10" s="2" t="str">
        <f t="shared" si="1"/>
        <v>Standalone</v>
      </c>
    </row>
    <row r="11" spans="1:13" ht="28">
      <c r="A11" s="2" t="s">
        <v>69</v>
      </c>
      <c r="B11" s="2" t="s">
        <v>77</v>
      </c>
      <c r="C11" s="2" t="s">
        <v>78</v>
      </c>
      <c r="D11" s="2" t="s">
        <v>72</v>
      </c>
      <c r="E11" s="2" t="s">
        <v>79</v>
      </c>
      <c r="F11" s="2" t="s">
        <v>80</v>
      </c>
      <c r="G11" s="2" t="s">
        <v>17</v>
      </c>
      <c r="H11" s="2" t="s">
        <v>17</v>
      </c>
      <c r="I11" t="s">
        <v>81</v>
      </c>
      <c r="J11" s="2" t="s">
        <v>19</v>
      </c>
      <c r="K11" t="s">
        <v>82</v>
      </c>
      <c r="L11" s="2">
        <f t="shared" si="0"/>
        <v>5</v>
      </c>
      <c r="M11" s="2" t="str">
        <f t="shared" si="1"/>
        <v>Standalone</v>
      </c>
    </row>
    <row r="12" spans="1:13" ht="28">
      <c r="A12" s="2" t="s">
        <v>69</v>
      </c>
      <c r="B12" s="2" t="s">
        <v>83</v>
      </c>
      <c r="C12" s="2" t="s">
        <v>78</v>
      </c>
      <c r="D12" s="2" t="s">
        <v>14</v>
      </c>
      <c r="E12" s="2" t="s">
        <v>84</v>
      </c>
      <c r="F12" s="2" t="s">
        <v>85</v>
      </c>
      <c r="G12" s="2" t="s">
        <v>17</v>
      </c>
      <c r="H12" s="2" t="s">
        <v>17</v>
      </c>
      <c r="I12" t="s">
        <v>86</v>
      </c>
      <c r="J12" s="2" t="s">
        <v>19</v>
      </c>
      <c r="K12" t="s">
        <v>87</v>
      </c>
      <c r="L12" s="2">
        <f t="shared" si="0"/>
        <v>5</v>
      </c>
      <c r="M12" s="2" t="str">
        <f t="shared" si="1"/>
        <v>Standalone</v>
      </c>
    </row>
    <row r="13" spans="1:13" ht="28">
      <c r="A13" s="2" t="s">
        <v>69</v>
      </c>
      <c r="B13" s="2" t="s">
        <v>88</v>
      </c>
      <c r="C13" s="2" t="s">
        <v>89</v>
      </c>
      <c r="D13" s="2" t="s">
        <v>32</v>
      </c>
      <c r="E13" s="2" t="s">
        <v>90</v>
      </c>
      <c r="F13" s="2" t="s">
        <v>91</v>
      </c>
      <c r="G13" s="2" t="s">
        <v>26</v>
      </c>
      <c r="H13" s="2" t="s">
        <v>26</v>
      </c>
      <c r="I13" t="s">
        <v>92</v>
      </c>
      <c r="J13" s="2" t="s">
        <v>28</v>
      </c>
      <c r="K13" t="s">
        <v>93</v>
      </c>
      <c r="L13" s="2">
        <f t="shared" si="0"/>
        <v>2</v>
      </c>
      <c r="M13" s="2" t="str">
        <f t="shared" si="1"/>
        <v>Boundary input / omit</v>
      </c>
    </row>
    <row r="14" spans="1:13" ht="28">
      <c r="A14" s="2" t="s">
        <v>69</v>
      </c>
      <c r="B14" s="2" t="s">
        <v>94</v>
      </c>
      <c r="C14" s="2" t="s">
        <v>95</v>
      </c>
      <c r="D14" s="2" t="s">
        <v>96</v>
      </c>
      <c r="E14" s="2" t="s">
        <v>97</v>
      </c>
      <c r="F14" s="2" t="s">
        <v>98</v>
      </c>
      <c r="G14" s="2" t="s">
        <v>26</v>
      </c>
      <c r="H14" s="2" t="s">
        <v>26</v>
      </c>
      <c r="I14" t="s">
        <v>99</v>
      </c>
      <c r="J14" s="2" t="s">
        <v>19</v>
      </c>
      <c r="K14" t="s">
        <v>100</v>
      </c>
      <c r="L14" s="2">
        <f t="shared" si="0"/>
        <v>4</v>
      </c>
      <c r="M14" s="2" t="str">
        <f t="shared" si="1"/>
        <v>Consider / Consolidate</v>
      </c>
    </row>
    <row r="15" spans="1:13" ht="28">
      <c r="A15" s="2" t="s">
        <v>69</v>
      </c>
      <c r="B15" s="2" t="s">
        <v>101</v>
      </c>
      <c r="C15" s="2" t="s">
        <v>102</v>
      </c>
      <c r="D15" s="2" t="s">
        <v>14</v>
      </c>
      <c r="E15" s="2" t="s">
        <v>103</v>
      </c>
      <c r="F15" s="2" t="s">
        <v>104</v>
      </c>
      <c r="G15" s="2" t="s">
        <v>17</v>
      </c>
      <c r="H15" s="2" t="s">
        <v>17</v>
      </c>
      <c r="I15" t="s">
        <v>105</v>
      </c>
      <c r="J15" s="2" t="s">
        <v>19</v>
      </c>
      <c r="K15" t="s">
        <v>106</v>
      </c>
      <c r="L15" s="2">
        <f t="shared" si="0"/>
        <v>5</v>
      </c>
      <c r="M15" s="2" t="str">
        <f t="shared" si="1"/>
        <v>Standalone</v>
      </c>
    </row>
    <row r="16" spans="1:13">
      <c r="A16" s="2" t="s">
        <v>69</v>
      </c>
      <c r="B16" s="2" t="s">
        <v>107</v>
      </c>
      <c r="C16" s="2" t="s">
        <v>108</v>
      </c>
      <c r="D16" s="2" t="s">
        <v>32</v>
      </c>
      <c r="E16" s="2" t="s">
        <v>109</v>
      </c>
      <c r="F16" s="2" t="s">
        <v>110</v>
      </c>
      <c r="G16" s="2" t="s">
        <v>26</v>
      </c>
      <c r="H16" s="2" t="s">
        <v>26</v>
      </c>
      <c r="I16" t="s">
        <v>111</v>
      </c>
      <c r="J16" s="2" t="s">
        <v>28</v>
      </c>
      <c r="K16" t="s">
        <v>112</v>
      </c>
      <c r="L16" s="2">
        <f t="shared" si="0"/>
        <v>2</v>
      </c>
      <c r="M16" s="2" t="str">
        <f t="shared" si="1"/>
        <v>Boundary input / omit</v>
      </c>
    </row>
    <row r="17" spans="1:13">
      <c r="A17" s="2" t="s">
        <v>69</v>
      </c>
      <c r="B17" s="2" t="s">
        <v>113</v>
      </c>
      <c r="C17" s="2" t="s">
        <v>114</v>
      </c>
      <c r="D17" s="2" t="s">
        <v>115</v>
      </c>
      <c r="E17" s="2" t="s">
        <v>116</v>
      </c>
      <c r="F17" s="2" t="s">
        <v>117</v>
      </c>
      <c r="G17" s="2" t="s">
        <v>26</v>
      </c>
      <c r="H17" s="2" t="s">
        <v>26</v>
      </c>
      <c r="I17" t="s">
        <v>118</v>
      </c>
      <c r="J17" s="2" t="s">
        <v>28</v>
      </c>
      <c r="K17" t="s">
        <v>119</v>
      </c>
      <c r="L17" s="2">
        <f t="shared" si="0"/>
        <v>2</v>
      </c>
      <c r="M17" s="2" t="str">
        <f t="shared" si="1"/>
        <v>Boundary input / omit</v>
      </c>
    </row>
    <row r="18" spans="1:13">
      <c r="A18" s="2" t="s">
        <v>69</v>
      </c>
      <c r="B18" s="2" t="s">
        <v>120</v>
      </c>
      <c r="C18" s="2" t="s">
        <v>121</v>
      </c>
      <c r="D18" s="2" t="s">
        <v>122</v>
      </c>
      <c r="E18" s="2" t="s">
        <v>123</v>
      </c>
      <c r="F18" s="2" t="s">
        <v>124</v>
      </c>
      <c r="G18" s="2" t="s">
        <v>26</v>
      </c>
      <c r="H18" s="2" t="s">
        <v>26</v>
      </c>
      <c r="I18" t="s">
        <v>125</v>
      </c>
      <c r="J18" s="2" t="s">
        <v>28</v>
      </c>
      <c r="K18" t="s">
        <v>126</v>
      </c>
      <c r="L18" s="2">
        <f t="shared" si="0"/>
        <v>2</v>
      </c>
      <c r="M18" s="2" t="str">
        <f t="shared" si="1"/>
        <v>Boundary input / omit</v>
      </c>
    </row>
    <row r="19" spans="1:13">
      <c r="A19" s="2" t="s">
        <v>69</v>
      </c>
      <c r="B19" s="2" t="s">
        <v>127</v>
      </c>
      <c r="C19" s="2" t="s">
        <v>128</v>
      </c>
      <c r="D19" s="2" t="s">
        <v>115</v>
      </c>
      <c r="E19" s="2" t="s">
        <v>129</v>
      </c>
      <c r="F19" s="2" t="s">
        <v>130</v>
      </c>
      <c r="G19" s="2" t="s">
        <v>26</v>
      </c>
      <c r="H19" s="2" t="s">
        <v>26</v>
      </c>
      <c r="I19" t="s">
        <v>131</v>
      </c>
      <c r="J19" s="2" t="s">
        <v>49</v>
      </c>
      <c r="K19" t="s">
        <v>132</v>
      </c>
      <c r="L19" s="2">
        <f t="shared" si="0"/>
        <v>3</v>
      </c>
      <c r="M19" s="2" t="str">
        <f t="shared" si="1"/>
        <v>Consider / Consolidate</v>
      </c>
    </row>
    <row r="20" spans="1:13">
      <c r="A20" s="2" t="s">
        <v>69</v>
      </c>
      <c r="B20" s="2" t="s">
        <v>133</v>
      </c>
      <c r="C20" s="2" t="s">
        <v>134</v>
      </c>
      <c r="D20" s="2" t="s">
        <v>96</v>
      </c>
      <c r="E20" s="2" t="s">
        <v>135</v>
      </c>
      <c r="F20" s="2" t="s">
        <v>136</v>
      </c>
      <c r="G20" s="2" t="s">
        <v>177</v>
      </c>
      <c r="H20" s="2" t="s">
        <v>17</v>
      </c>
      <c r="I20" t="s">
        <v>137</v>
      </c>
      <c r="J20" s="2" t="s">
        <v>28</v>
      </c>
      <c r="K20" t="s">
        <v>138</v>
      </c>
      <c r="L20" s="2">
        <f t="shared" si="0"/>
        <v>1</v>
      </c>
      <c r="M20" s="2" t="str">
        <f t="shared" si="1"/>
        <v>Boundary input / omit</v>
      </c>
    </row>
    <row r="21" spans="1:13">
      <c r="A21" s="2" t="s">
        <v>69</v>
      </c>
      <c r="B21" s="2" t="s">
        <v>139</v>
      </c>
      <c r="C21" s="2" t="s">
        <v>140</v>
      </c>
      <c r="D21" s="2" t="s">
        <v>122</v>
      </c>
      <c r="E21" s="2" t="s">
        <v>141</v>
      </c>
      <c r="F21" s="2" t="s">
        <v>142</v>
      </c>
      <c r="G21" s="2" t="s">
        <v>177</v>
      </c>
      <c r="H21" s="2" t="s">
        <v>17</v>
      </c>
      <c r="I21" t="s">
        <v>143</v>
      </c>
      <c r="J21" s="2" t="s">
        <v>19</v>
      </c>
      <c r="K21" t="s">
        <v>144</v>
      </c>
      <c r="L21" s="2">
        <f t="shared" si="0"/>
        <v>3</v>
      </c>
      <c r="M21" s="2" t="str">
        <f t="shared" si="1"/>
        <v>Consider / Consolidate</v>
      </c>
    </row>
    <row r="22" spans="1:13">
      <c r="A22" s="2" t="s">
        <v>145</v>
      </c>
      <c r="B22" s="2" t="s">
        <v>139</v>
      </c>
      <c r="C22" s="2" t="s">
        <v>146</v>
      </c>
      <c r="D22" s="2" t="s">
        <v>115</v>
      </c>
      <c r="E22" s="2" t="s">
        <v>147</v>
      </c>
      <c r="F22" s="2" t="s">
        <v>148</v>
      </c>
      <c r="G22" s="2" t="s">
        <v>26</v>
      </c>
      <c r="H22" s="2" t="s">
        <v>17</v>
      </c>
      <c r="I22" t="s">
        <v>149</v>
      </c>
      <c r="J22" s="2" t="s">
        <v>28</v>
      </c>
      <c r="K22" t="s">
        <v>150</v>
      </c>
      <c r="L22" s="2">
        <f t="shared" si="0"/>
        <v>2</v>
      </c>
      <c r="M22" s="2" t="str">
        <f t="shared" si="1"/>
        <v>Boundary input / omit</v>
      </c>
    </row>
    <row r="23" spans="1:13" ht="28">
      <c r="A23" s="2" t="s">
        <v>145</v>
      </c>
      <c r="B23" s="2" t="s">
        <v>151</v>
      </c>
      <c r="C23" s="2" t="s">
        <v>152</v>
      </c>
      <c r="D23" s="2" t="s">
        <v>153</v>
      </c>
      <c r="E23" s="2" t="s">
        <v>154</v>
      </c>
      <c r="F23" s="2" t="s">
        <v>155</v>
      </c>
      <c r="G23" s="2" t="s">
        <v>26</v>
      </c>
      <c r="H23" s="2" t="s">
        <v>17</v>
      </c>
      <c r="I23" t="s">
        <v>156</v>
      </c>
      <c r="J23" s="2" t="s">
        <v>19</v>
      </c>
      <c r="K23" t="s">
        <v>157</v>
      </c>
      <c r="L23" s="2">
        <f t="shared" si="0"/>
        <v>4</v>
      </c>
      <c r="M23" s="2" t="str">
        <f t="shared" si="1"/>
        <v>Consider / Consolidate</v>
      </c>
    </row>
    <row r="24" spans="1:13">
      <c r="A24" s="2" t="s">
        <v>145</v>
      </c>
      <c r="B24" s="2" t="s">
        <v>158</v>
      </c>
      <c r="C24" s="2" t="s">
        <v>159</v>
      </c>
      <c r="D24" s="2" t="s">
        <v>160</v>
      </c>
      <c r="E24" s="2" t="s">
        <v>161</v>
      </c>
      <c r="F24" s="2" t="s">
        <v>162</v>
      </c>
      <c r="G24" s="2" t="s">
        <v>26</v>
      </c>
      <c r="H24" s="2" t="s">
        <v>17</v>
      </c>
      <c r="I24" t="s">
        <v>163</v>
      </c>
      <c r="J24" s="2" t="s">
        <v>28</v>
      </c>
      <c r="K24" t="s">
        <v>164</v>
      </c>
      <c r="L24" s="2">
        <f t="shared" si="0"/>
        <v>2</v>
      </c>
      <c r="M24" s="2" t="str">
        <f t="shared" si="1"/>
        <v>Boundary input / omit</v>
      </c>
    </row>
    <row r="25" spans="1:13">
      <c r="A25" s="2" t="s">
        <v>145</v>
      </c>
      <c r="B25" s="2" t="s">
        <v>165</v>
      </c>
      <c r="C25" s="2" t="s">
        <v>166</v>
      </c>
      <c r="D25" s="2" t="s">
        <v>115</v>
      </c>
      <c r="E25" s="2" t="s">
        <v>167</v>
      </c>
      <c r="F25" s="2" t="s">
        <v>168</v>
      </c>
      <c r="G25" s="2" t="s">
        <v>26</v>
      </c>
      <c r="H25" s="2" t="s">
        <v>17</v>
      </c>
      <c r="I25" t="s">
        <v>169</v>
      </c>
      <c r="J25" s="2" t="s">
        <v>19</v>
      </c>
      <c r="K25" t="s">
        <v>170</v>
      </c>
      <c r="L25" s="2">
        <f t="shared" si="0"/>
        <v>4</v>
      </c>
      <c r="M25" s="2" t="str">
        <f t="shared" si="1"/>
        <v>Consider / Consolidate</v>
      </c>
    </row>
    <row r="26" spans="1:13">
      <c r="A26" s="2" t="s">
        <v>145</v>
      </c>
      <c r="B26" s="2" t="s">
        <v>171</v>
      </c>
      <c r="C26" s="2" t="s">
        <v>172</v>
      </c>
      <c r="D26" s="2" t="s">
        <v>23</v>
      </c>
      <c r="E26" s="2" t="s">
        <v>173</v>
      </c>
      <c r="F26" s="2" t="s">
        <v>174</v>
      </c>
      <c r="G26" s="2" t="s">
        <v>26</v>
      </c>
      <c r="H26" s="2" t="s">
        <v>26</v>
      </c>
      <c r="I26" t="s">
        <v>175</v>
      </c>
      <c r="J26" s="2" t="s">
        <v>28</v>
      </c>
      <c r="K26" t="s">
        <v>176</v>
      </c>
      <c r="L26" s="2">
        <f t="shared" si="0"/>
        <v>2</v>
      </c>
      <c r="M26" s="2" t="str">
        <f t="shared" si="1"/>
        <v>Boundary input / omit</v>
      </c>
    </row>
    <row r="27" spans="1:13">
      <c r="A27" s="2" t="s">
        <v>145</v>
      </c>
      <c r="B27" s="2" t="s">
        <v>178</v>
      </c>
      <c r="C27" s="2" t="s">
        <v>179</v>
      </c>
      <c r="D27" s="2" t="s">
        <v>32</v>
      </c>
      <c r="E27" s="2" t="s">
        <v>180</v>
      </c>
      <c r="F27" s="2" t="s">
        <v>181</v>
      </c>
      <c r="G27" s="2" t="s">
        <v>26</v>
      </c>
      <c r="H27" s="2" t="s">
        <v>26</v>
      </c>
      <c r="I27" t="s">
        <v>182</v>
      </c>
      <c r="J27" s="2" t="s">
        <v>28</v>
      </c>
      <c r="K27" t="s">
        <v>183</v>
      </c>
      <c r="L27" s="2">
        <f t="shared" si="0"/>
        <v>2</v>
      </c>
      <c r="M27" s="2" t="str">
        <f t="shared" si="1"/>
        <v>Boundary input / omit</v>
      </c>
    </row>
    <row r="28" spans="1:13" ht="28">
      <c r="A28" s="2" t="s">
        <v>145</v>
      </c>
      <c r="B28" s="2" t="s">
        <v>184</v>
      </c>
      <c r="C28" s="2" t="s">
        <v>185</v>
      </c>
      <c r="D28" s="2" t="s">
        <v>122</v>
      </c>
      <c r="E28" s="2" t="s">
        <v>186</v>
      </c>
      <c r="F28" s="2" t="s">
        <v>187</v>
      </c>
      <c r="G28" s="2" t="s">
        <v>26</v>
      </c>
      <c r="H28" s="2" t="s">
        <v>17</v>
      </c>
      <c r="I28" t="s">
        <v>188</v>
      </c>
      <c r="J28" s="2" t="s">
        <v>49</v>
      </c>
      <c r="K28" t="s">
        <v>189</v>
      </c>
      <c r="L28" s="2">
        <f t="shared" si="0"/>
        <v>3</v>
      </c>
      <c r="M28" s="2" t="str">
        <f t="shared" si="1"/>
        <v>Consider / Consolidate</v>
      </c>
    </row>
    <row r="29" spans="1:13">
      <c r="A29" s="2" t="s">
        <v>145</v>
      </c>
      <c r="B29" s="2" t="s">
        <v>190</v>
      </c>
      <c r="C29" s="2" t="s">
        <v>191</v>
      </c>
      <c r="D29" s="2" t="s">
        <v>23</v>
      </c>
      <c r="E29" s="2" t="s">
        <v>192</v>
      </c>
      <c r="F29" s="2" t="s">
        <v>193</v>
      </c>
      <c r="G29" s="2" t="s">
        <v>177</v>
      </c>
      <c r="H29" s="2" t="s">
        <v>177</v>
      </c>
      <c r="I29" t="s">
        <v>194</v>
      </c>
      <c r="J29" s="2" t="s">
        <v>28</v>
      </c>
      <c r="K29" t="s">
        <v>195</v>
      </c>
      <c r="L29" s="2">
        <f t="shared" si="0"/>
        <v>1</v>
      </c>
      <c r="M29" s="2" t="str">
        <f t="shared" si="1"/>
        <v>Boundary input / omit</v>
      </c>
    </row>
    <row r="30" spans="1:13" ht="28">
      <c r="A30" s="2" t="s">
        <v>196</v>
      </c>
      <c r="B30" s="2" t="s">
        <v>197</v>
      </c>
      <c r="C30" s="2" t="s">
        <v>198</v>
      </c>
      <c r="D30" s="2" t="s">
        <v>199</v>
      </c>
      <c r="E30" s="2" t="s">
        <v>200</v>
      </c>
      <c r="F30" s="2" t="s">
        <v>201</v>
      </c>
      <c r="G30" s="2" t="s">
        <v>177</v>
      </c>
      <c r="H30" s="2" t="s">
        <v>26</v>
      </c>
      <c r="I30" t="s">
        <v>202</v>
      </c>
      <c r="J30" s="2" t="s">
        <v>28</v>
      </c>
      <c r="K30" t="s">
        <v>203</v>
      </c>
      <c r="L30" s="2">
        <f t="shared" si="0"/>
        <v>1</v>
      </c>
      <c r="M30" s="2" t="str">
        <f t="shared" si="1"/>
        <v>Boundary input / omit</v>
      </c>
    </row>
    <row r="31" spans="1:13">
      <c r="A31" s="2" t="s">
        <v>196</v>
      </c>
      <c r="B31" s="2" t="s">
        <v>204</v>
      </c>
      <c r="C31" s="2" t="s">
        <v>205</v>
      </c>
      <c r="D31" s="2" t="s">
        <v>206</v>
      </c>
      <c r="E31" s="2" t="s">
        <v>207</v>
      </c>
      <c r="F31" s="2" t="s">
        <v>208</v>
      </c>
      <c r="G31" s="2" t="s">
        <v>177</v>
      </c>
      <c r="H31" s="2" t="s">
        <v>26</v>
      </c>
      <c r="I31" t="s">
        <v>209</v>
      </c>
      <c r="J31" s="2" t="s">
        <v>28</v>
      </c>
      <c r="K31" t="s">
        <v>210</v>
      </c>
      <c r="L31" s="2">
        <f t="shared" si="0"/>
        <v>1</v>
      </c>
      <c r="M31" s="2" t="str">
        <f t="shared" si="1"/>
        <v>Boundary input / omit</v>
      </c>
    </row>
    <row r="32" spans="1:13" ht="28">
      <c r="A32" s="2" t="s">
        <v>196</v>
      </c>
      <c r="B32" s="2" t="s">
        <v>211</v>
      </c>
      <c r="C32" s="2" t="s">
        <v>212</v>
      </c>
      <c r="D32" s="2" t="s">
        <v>213</v>
      </c>
      <c r="E32" s="2" t="s">
        <v>214</v>
      </c>
      <c r="F32" s="2" t="s">
        <v>215</v>
      </c>
      <c r="G32" s="2" t="s">
        <v>26</v>
      </c>
      <c r="H32" s="2" t="s">
        <v>26</v>
      </c>
      <c r="I32" t="s">
        <v>216</v>
      </c>
      <c r="J32" s="2" t="s">
        <v>49</v>
      </c>
      <c r="K32" t="s">
        <v>217</v>
      </c>
      <c r="L32" s="2">
        <f t="shared" si="0"/>
        <v>3</v>
      </c>
      <c r="M32" s="2" t="str">
        <f t="shared" si="1"/>
        <v>Consider / Consolidate</v>
      </c>
    </row>
    <row r="33" spans="1:13" ht="42">
      <c r="A33" s="2" t="s">
        <v>196</v>
      </c>
      <c r="B33" s="2" t="s">
        <v>218</v>
      </c>
      <c r="C33" s="2" t="s">
        <v>219</v>
      </c>
      <c r="D33" s="2" t="s">
        <v>153</v>
      </c>
      <c r="E33" s="2" t="s">
        <v>334</v>
      </c>
      <c r="F33" s="2" t="s">
        <v>220</v>
      </c>
      <c r="G33" s="2" t="s">
        <v>17</v>
      </c>
      <c r="H33" s="2" t="s">
        <v>17</v>
      </c>
      <c r="I33" t="s">
        <v>221</v>
      </c>
      <c r="J33" s="2" t="s">
        <v>19</v>
      </c>
      <c r="K33" t="s">
        <v>222</v>
      </c>
      <c r="L33" s="2">
        <f t="shared" ref="L33:L49" si="2">IF(J33="High",3,IF(J33="Medium",2,1))+IF(G33="Yes",2,IF(G33="Indirect",1,0))</f>
        <v>5</v>
      </c>
      <c r="M33" s="2" t="str">
        <f t="shared" ref="M33:M49" si="3">IF(L33&gt;=5,"Standalone",IF(L33&gt;=3,"Consider / Consolidate","Boundary input / omit"))</f>
        <v>Standalone</v>
      </c>
    </row>
    <row r="34" spans="1:13" ht="28">
      <c r="A34" s="2" t="s">
        <v>196</v>
      </c>
      <c r="B34" s="2" t="s">
        <v>223</v>
      </c>
      <c r="C34" s="2" t="s">
        <v>224</v>
      </c>
      <c r="D34" s="2" t="s">
        <v>225</v>
      </c>
      <c r="E34" s="2" t="s">
        <v>226</v>
      </c>
      <c r="F34" s="2" t="s">
        <v>227</v>
      </c>
      <c r="G34" s="2" t="s">
        <v>17</v>
      </c>
      <c r="H34" s="2" t="s">
        <v>17</v>
      </c>
      <c r="I34" t="s">
        <v>228</v>
      </c>
      <c r="J34" s="2" t="s">
        <v>19</v>
      </c>
      <c r="K34" t="s">
        <v>229</v>
      </c>
      <c r="L34" s="2">
        <f t="shared" si="2"/>
        <v>5</v>
      </c>
      <c r="M34" s="2" t="str">
        <f t="shared" si="3"/>
        <v>Standalone</v>
      </c>
    </row>
    <row r="35" spans="1:13" ht="28">
      <c r="A35" s="2" t="s">
        <v>196</v>
      </c>
      <c r="B35" s="2" t="s">
        <v>230</v>
      </c>
      <c r="C35" s="2" t="s">
        <v>231</v>
      </c>
      <c r="D35" s="2" t="s">
        <v>206</v>
      </c>
      <c r="E35" s="2" t="s">
        <v>232</v>
      </c>
      <c r="F35" s="2" t="s">
        <v>233</v>
      </c>
      <c r="G35" s="2" t="s">
        <v>26</v>
      </c>
      <c r="H35" s="2" t="s">
        <v>26</v>
      </c>
      <c r="I35" t="s">
        <v>234</v>
      </c>
      <c r="J35" s="2" t="s">
        <v>28</v>
      </c>
      <c r="K35" t="s">
        <v>235</v>
      </c>
      <c r="L35" s="2">
        <f t="shared" si="2"/>
        <v>2</v>
      </c>
      <c r="M35" s="2" t="str">
        <f t="shared" si="3"/>
        <v>Boundary input / omit</v>
      </c>
    </row>
    <row r="36" spans="1:13">
      <c r="A36" s="2" t="s">
        <v>196</v>
      </c>
      <c r="B36" s="2" t="s">
        <v>236</v>
      </c>
      <c r="C36" s="2" t="s">
        <v>237</v>
      </c>
      <c r="D36" s="2" t="s">
        <v>23</v>
      </c>
      <c r="E36" s="2" t="s">
        <v>238</v>
      </c>
      <c r="F36" s="2" t="s">
        <v>239</v>
      </c>
      <c r="G36" s="2" t="s">
        <v>177</v>
      </c>
      <c r="H36" s="2" t="s">
        <v>177</v>
      </c>
      <c r="I36" t="s">
        <v>240</v>
      </c>
      <c r="J36" s="2" t="s">
        <v>28</v>
      </c>
      <c r="K36" t="s">
        <v>241</v>
      </c>
      <c r="L36" s="2">
        <f t="shared" si="2"/>
        <v>1</v>
      </c>
      <c r="M36" s="2" t="str">
        <f t="shared" si="3"/>
        <v>Boundary input / omit</v>
      </c>
    </row>
    <row r="37" spans="1:13" ht="28">
      <c r="A37" s="2" t="s">
        <v>196</v>
      </c>
      <c r="B37" s="2" t="s">
        <v>242</v>
      </c>
      <c r="C37" s="2" t="s">
        <v>243</v>
      </c>
      <c r="D37" s="2" t="s">
        <v>160</v>
      </c>
      <c r="E37" s="2" t="s">
        <v>244</v>
      </c>
      <c r="F37" s="2" t="s">
        <v>245</v>
      </c>
      <c r="G37" s="2" t="s">
        <v>177</v>
      </c>
      <c r="H37" s="2" t="s">
        <v>177</v>
      </c>
      <c r="I37" t="s">
        <v>246</v>
      </c>
      <c r="J37" s="2" t="s">
        <v>28</v>
      </c>
      <c r="K37" t="s">
        <v>247</v>
      </c>
      <c r="L37" s="2">
        <f t="shared" si="2"/>
        <v>1</v>
      </c>
      <c r="M37" s="2" t="str">
        <f t="shared" si="3"/>
        <v>Boundary input / omit</v>
      </c>
    </row>
    <row r="38" spans="1:13">
      <c r="A38" s="2" t="s">
        <v>248</v>
      </c>
      <c r="B38" s="2" t="s">
        <v>249</v>
      </c>
      <c r="C38" s="2" t="s">
        <v>250</v>
      </c>
      <c r="D38" s="2" t="s">
        <v>45</v>
      </c>
      <c r="E38" s="2" t="s">
        <v>251</v>
      </c>
      <c r="F38" s="2" t="s">
        <v>252</v>
      </c>
      <c r="G38" s="2" t="s">
        <v>177</v>
      </c>
      <c r="H38" s="2" t="s">
        <v>177</v>
      </c>
      <c r="I38" t="s">
        <v>253</v>
      </c>
      <c r="J38" s="2" t="s">
        <v>49</v>
      </c>
      <c r="K38" t="s">
        <v>254</v>
      </c>
      <c r="L38" s="2">
        <f t="shared" si="2"/>
        <v>2</v>
      </c>
      <c r="M38" s="2" t="str">
        <f t="shared" si="3"/>
        <v>Boundary input / omit</v>
      </c>
    </row>
    <row r="39" spans="1:13">
      <c r="A39" s="2" t="s">
        <v>248</v>
      </c>
      <c r="B39" s="2" t="s">
        <v>255</v>
      </c>
      <c r="C39" s="2" t="s">
        <v>256</v>
      </c>
      <c r="D39" s="2" t="s">
        <v>23</v>
      </c>
      <c r="E39" s="2" t="s">
        <v>257</v>
      </c>
      <c r="F39" s="2" t="s">
        <v>258</v>
      </c>
      <c r="G39" s="2" t="s">
        <v>177</v>
      </c>
      <c r="H39" s="2" t="s">
        <v>26</v>
      </c>
      <c r="I39" t="s">
        <v>259</v>
      </c>
      <c r="J39" s="2" t="s">
        <v>28</v>
      </c>
      <c r="K39" t="s">
        <v>260</v>
      </c>
      <c r="L39" s="2">
        <f t="shared" si="2"/>
        <v>1</v>
      </c>
      <c r="M39" s="2" t="str">
        <f t="shared" si="3"/>
        <v>Boundary input / omit</v>
      </c>
    </row>
    <row r="40" spans="1:13">
      <c r="A40" s="2" t="s">
        <v>248</v>
      </c>
      <c r="B40" s="2" t="s">
        <v>261</v>
      </c>
      <c r="C40" s="2" t="s">
        <v>262</v>
      </c>
      <c r="D40" s="2" t="s">
        <v>122</v>
      </c>
      <c r="E40" s="2" t="s">
        <v>263</v>
      </c>
      <c r="F40" s="2" t="s">
        <v>264</v>
      </c>
      <c r="G40" s="2" t="s">
        <v>177</v>
      </c>
      <c r="H40" s="2" t="s">
        <v>26</v>
      </c>
      <c r="I40" t="s">
        <v>265</v>
      </c>
      <c r="J40" s="2" t="s">
        <v>28</v>
      </c>
      <c r="K40" t="s">
        <v>266</v>
      </c>
      <c r="L40" s="2">
        <f t="shared" si="2"/>
        <v>1</v>
      </c>
      <c r="M40" s="2" t="str">
        <f t="shared" si="3"/>
        <v>Boundary input / omit</v>
      </c>
    </row>
    <row r="41" spans="1:13">
      <c r="A41" s="2" t="s">
        <v>248</v>
      </c>
      <c r="B41" s="2" t="s">
        <v>267</v>
      </c>
      <c r="C41" s="2" t="s">
        <v>268</v>
      </c>
      <c r="D41" s="2" t="s">
        <v>45</v>
      </c>
      <c r="E41" s="2" t="s">
        <v>269</v>
      </c>
      <c r="F41" s="2" t="s">
        <v>270</v>
      </c>
      <c r="G41" s="2" t="s">
        <v>26</v>
      </c>
      <c r="H41" s="2" t="s">
        <v>26</v>
      </c>
      <c r="I41" t="s">
        <v>271</v>
      </c>
      <c r="J41" s="2" t="s">
        <v>28</v>
      </c>
      <c r="K41" t="s">
        <v>272</v>
      </c>
      <c r="L41" s="2">
        <f t="shared" si="2"/>
        <v>2</v>
      </c>
      <c r="M41" s="2" t="str">
        <f t="shared" si="3"/>
        <v>Boundary input / omit</v>
      </c>
    </row>
    <row r="42" spans="1:13">
      <c r="A42" s="2" t="s">
        <v>248</v>
      </c>
      <c r="B42" s="2" t="s">
        <v>273</v>
      </c>
      <c r="C42" s="2" t="s">
        <v>274</v>
      </c>
      <c r="D42" s="2" t="s">
        <v>45</v>
      </c>
      <c r="E42" s="2" t="s">
        <v>275</v>
      </c>
      <c r="F42" s="2" t="s">
        <v>276</v>
      </c>
      <c r="G42" s="2" t="s">
        <v>177</v>
      </c>
      <c r="H42" s="2" t="s">
        <v>177</v>
      </c>
      <c r="I42" t="s">
        <v>277</v>
      </c>
      <c r="J42" s="2" t="s">
        <v>28</v>
      </c>
      <c r="K42" t="s">
        <v>278</v>
      </c>
      <c r="L42" s="2">
        <f t="shared" si="2"/>
        <v>1</v>
      </c>
      <c r="M42" s="2" t="str">
        <f t="shared" si="3"/>
        <v>Boundary input / omit</v>
      </c>
    </row>
    <row r="43" spans="1:13">
      <c r="A43" s="2" t="s">
        <v>248</v>
      </c>
      <c r="B43" s="2" t="s">
        <v>279</v>
      </c>
      <c r="C43" s="2" t="s">
        <v>280</v>
      </c>
      <c r="D43" s="2" t="s">
        <v>45</v>
      </c>
      <c r="E43" s="2" t="s">
        <v>281</v>
      </c>
      <c r="F43" s="2" t="s">
        <v>282</v>
      </c>
      <c r="G43" s="2" t="s">
        <v>26</v>
      </c>
      <c r="H43" s="2" t="s">
        <v>177</v>
      </c>
      <c r="I43" t="s">
        <v>283</v>
      </c>
      <c r="J43" s="2" t="s">
        <v>28</v>
      </c>
      <c r="K43" t="s">
        <v>284</v>
      </c>
      <c r="L43" s="2">
        <f t="shared" si="2"/>
        <v>2</v>
      </c>
      <c r="M43" s="2" t="str">
        <f t="shared" si="3"/>
        <v>Boundary input / omit</v>
      </c>
    </row>
    <row r="44" spans="1:13">
      <c r="A44" s="2" t="s">
        <v>285</v>
      </c>
      <c r="B44" s="2" t="s">
        <v>286</v>
      </c>
      <c r="C44" s="2" t="s">
        <v>287</v>
      </c>
      <c r="D44" s="2" t="s">
        <v>32</v>
      </c>
      <c r="E44" s="2" t="s">
        <v>288</v>
      </c>
      <c r="F44" s="2" t="s">
        <v>289</v>
      </c>
      <c r="G44" s="2" t="s">
        <v>26</v>
      </c>
      <c r="H44" s="2" t="s">
        <v>17</v>
      </c>
      <c r="I44" t="s">
        <v>290</v>
      </c>
      <c r="J44" s="2" t="s">
        <v>49</v>
      </c>
      <c r="K44" t="s">
        <v>291</v>
      </c>
      <c r="L44" s="2">
        <f t="shared" si="2"/>
        <v>3</v>
      </c>
      <c r="M44" s="2" t="str">
        <f t="shared" si="3"/>
        <v>Consider / Consolidate</v>
      </c>
    </row>
    <row r="45" spans="1:13">
      <c r="A45" s="2" t="s">
        <v>285</v>
      </c>
      <c r="B45" s="2" t="s">
        <v>165</v>
      </c>
      <c r="C45" s="2" t="s">
        <v>292</v>
      </c>
      <c r="D45" s="2" t="s">
        <v>115</v>
      </c>
      <c r="E45" s="2" t="s">
        <v>293</v>
      </c>
      <c r="F45" s="2" t="s">
        <v>294</v>
      </c>
      <c r="G45" s="2" t="s">
        <v>26</v>
      </c>
      <c r="H45" s="2" t="s">
        <v>17</v>
      </c>
      <c r="I45" t="s">
        <v>295</v>
      </c>
      <c r="J45" s="2" t="s">
        <v>19</v>
      </c>
      <c r="K45" t="s">
        <v>296</v>
      </c>
      <c r="L45" s="2">
        <f t="shared" si="2"/>
        <v>4</v>
      </c>
      <c r="M45" s="2" t="str">
        <f t="shared" si="3"/>
        <v>Consider / Consolidate</v>
      </c>
    </row>
    <row r="46" spans="1:13">
      <c r="A46" s="2" t="s">
        <v>285</v>
      </c>
      <c r="B46" s="2" t="s">
        <v>297</v>
      </c>
      <c r="C46" s="2" t="s">
        <v>298</v>
      </c>
      <c r="D46" s="2" t="s">
        <v>32</v>
      </c>
      <c r="E46" s="2" t="s">
        <v>299</v>
      </c>
      <c r="F46" s="2" t="s">
        <v>300</v>
      </c>
      <c r="G46" s="2" t="s">
        <v>26</v>
      </c>
      <c r="H46" s="2" t="s">
        <v>26</v>
      </c>
      <c r="I46" t="s">
        <v>301</v>
      </c>
      <c r="J46" s="2" t="s">
        <v>28</v>
      </c>
      <c r="K46" t="s">
        <v>302</v>
      </c>
      <c r="L46" s="2">
        <f t="shared" si="2"/>
        <v>2</v>
      </c>
      <c r="M46" s="2" t="str">
        <f t="shared" si="3"/>
        <v>Boundary input / omit</v>
      </c>
    </row>
    <row r="47" spans="1:13">
      <c r="A47" s="2" t="s">
        <v>285</v>
      </c>
      <c r="B47" s="2" t="s">
        <v>303</v>
      </c>
      <c r="C47" s="2" t="s">
        <v>304</v>
      </c>
      <c r="D47" s="2" t="s">
        <v>305</v>
      </c>
      <c r="E47" s="2" t="s">
        <v>306</v>
      </c>
      <c r="F47" s="2" t="s">
        <v>307</v>
      </c>
      <c r="G47" s="2" t="s">
        <v>26</v>
      </c>
      <c r="H47" s="2" t="s">
        <v>17</v>
      </c>
      <c r="I47" t="s">
        <v>308</v>
      </c>
      <c r="J47" s="2" t="s">
        <v>28</v>
      </c>
      <c r="K47" t="s">
        <v>337</v>
      </c>
      <c r="L47" s="2">
        <f t="shared" si="2"/>
        <v>2</v>
      </c>
      <c r="M47" s="2" t="str">
        <f t="shared" si="3"/>
        <v>Boundary input / omit</v>
      </c>
    </row>
    <row r="48" spans="1:13">
      <c r="A48" s="2" t="s">
        <v>285</v>
      </c>
      <c r="B48" s="2" t="s">
        <v>309</v>
      </c>
      <c r="C48" s="2" t="s">
        <v>310</v>
      </c>
      <c r="D48" s="2" t="s">
        <v>23</v>
      </c>
      <c r="E48" s="2" t="s">
        <v>311</v>
      </c>
      <c r="F48" s="2" t="s">
        <v>312</v>
      </c>
      <c r="G48" s="2" t="s">
        <v>177</v>
      </c>
      <c r="H48" s="2" t="s">
        <v>26</v>
      </c>
      <c r="I48" t="s">
        <v>313</v>
      </c>
      <c r="J48" s="2" t="s">
        <v>28</v>
      </c>
      <c r="K48" t="s">
        <v>314</v>
      </c>
      <c r="L48" s="2">
        <f t="shared" si="2"/>
        <v>1</v>
      </c>
      <c r="M48" s="2" t="str">
        <f t="shared" si="3"/>
        <v>Boundary input / omit</v>
      </c>
    </row>
    <row r="49" spans="1:13">
      <c r="A49" s="2" t="s">
        <v>285</v>
      </c>
      <c r="B49" s="2" t="s">
        <v>315</v>
      </c>
      <c r="C49" s="2" t="s">
        <v>316</v>
      </c>
      <c r="D49" s="2" t="s">
        <v>14</v>
      </c>
      <c r="E49" s="2" t="s">
        <v>317</v>
      </c>
      <c r="F49" s="2" t="s">
        <v>318</v>
      </c>
      <c r="G49" s="2" t="s">
        <v>26</v>
      </c>
      <c r="H49" s="2" t="s">
        <v>26</v>
      </c>
      <c r="I49" t="s">
        <v>319</v>
      </c>
      <c r="J49" s="2" t="s">
        <v>28</v>
      </c>
      <c r="K49" t="s">
        <v>320</v>
      </c>
      <c r="L49" s="2">
        <f t="shared" si="2"/>
        <v>2</v>
      </c>
      <c r="M49" s="2" t="str">
        <f t="shared" si="3"/>
        <v>Boundary input / omit</v>
      </c>
    </row>
  </sheetData>
  <conditionalFormatting sqref="J2:J49">
    <cfRule type="expression" dxfId="2" priority="1">
      <formula>J2="High"</formula>
    </cfRule>
    <cfRule type="expression" dxfId="1" priority="2">
      <formula>J2="Medium"</formula>
    </cfRule>
    <cfRule type="expression" dxfId="0" priority="3">
      <formula>J2="Low"</formula>
    </cfRule>
  </conditionalFormatting>
  <dataValidations count="2">
    <dataValidation type="list" sqref="G2:H49" xr:uid="{00000000-0002-0000-0000-000000000000}">
      <formula1>"Yes,Indirect,No"</formula1>
    </dataValidation>
    <dataValidation type="list" sqref="J2:J49" xr:uid="{00000000-0002-0000-0000-000001000000}">
      <formula1>"High,Medium,Low"</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B7" sqref="B7"/>
    </sheetView>
  </sheetViews>
  <sheetFormatPr defaultRowHeight="14"/>
  <cols>
    <col min="1" max="1" width="25" customWidth="1"/>
    <col min="2" max="2" width="90" customWidth="1"/>
  </cols>
  <sheetData>
    <row r="1" spans="1:2" ht="20">
      <c r="A1" s="13" t="s">
        <v>321</v>
      </c>
      <c r="B1" s="13"/>
    </row>
    <row r="2" spans="1:2" ht="28">
      <c r="A2" s="2" t="s">
        <v>322</v>
      </c>
      <c r="B2" s="2" t="s">
        <v>323</v>
      </c>
    </row>
    <row r="3" spans="1:2">
      <c r="A3" s="3" t="s">
        <v>324</v>
      </c>
      <c r="B3" s="3" t="s">
        <v>325</v>
      </c>
    </row>
    <row r="4" spans="1:2" ht="28">
      <c r="A4" s="2" t="s">
        <v>7</v>
      </c>
      <c r="B4" s="2" t="s">
        <v>326</v>
      </c>
    </row>
    <row r="5" spans="1:2" ht="28">
      <c r="A5" s="2" t="s">
        <v>5</v>
      </c>
      <c r="B5" s="2" t="s">
        <v>327</v>
      </c>
    </row>
    <row r="6" spans="1:2">
      <c r="A6" s="2" t="s">
        <v>9</v>
      </c>
      <c r="B6" s="2" t="s">
        <v>328</v>
      </c>
    </row>
    <row r="7" spans="1:2">
      <c r="A7" s="2" t="s">
        <v>10</v>
      </c>
      <c r="B7" s="2" t="s">
        <v>329</v>
      </c>
    </row>
    <row r="8" spans="1:2" ht="28">
      <c r="A8" s="2" t="s">
        <v>330</v>
      </c>
      <c r="B8" s="2" t="s">
        <v>331</v>
      </c>
    </row>
    <row r="9" spans="1:2" ht="42">
      <c r="A9" s="2" t="s">
        <v>332</v>
      </c>
      <c r="B9" s="2" t="s">
        <v>333</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39BF1-CAA2-4876-A3AC-3E5F1F00D9DB}">
  <dimension ref="A1:F31"/>
  <sheetViews>
    <sheetView tabSelected="1" topLeftCell="A6" workbookViewId="0">
      <selection activeCell="E31" sqref="E31"/>
    </sheetView>
  </sheetViews>
  <sheetFormatPr defaultRowHeight="14.5"/>
  <cols>
    <col min="1" max="3" width="21.6640625" style="5" customWidth="1"/>
    <col min="4" max="4" width="16.75" style="5" customWidth="1"/>
    <col min="5" max="5" width="36.75" style="5" customWidth="1"/>
    <col min="6" max="6" width="87.75" style="5" customWidth="1"/>
    <col min="7" max="16384" width="8.6640625" style="5"/>
  </cols>
  <sheetData>
    <row r="1" spans="1:6">
      <c r="A1" s="9" t="s">
        <v>372</v>
      </c>
      <c r="B1" s="9" t="s">
        <v>371</v>
      </c>
      <c r="C1" s="9" t="s">
        <v>370</v>
      </c>
      <c r="D1" s="9" t="s">
        <v>369</v>
      </c>
      <c r="E1" s="9" t="s">
        <v>374</v>
      </c>
      <c r="F1" s="9" t="s">
        <v>368</v>
      </c>
    </row>
    <row r="2" spans="1:6" ht="43.5">
      <c r="A2" s="6" t="s">
        <v>367</v>
      </c>
      <c r="B2" s="6" t="s">
        <v>365</v>
      </c>
      <c r="C2" s="6" t="s">
        <v>366</v>
      </c>
      <c r="D2" s="10" t="s">
        <v>378</v>
      </c>
      <c r="E2" s="10" t="s">
        <v>375</v>
      </c>
      <c r="F2" s="14" t="s">
        <v>383</v>
      </c>
    </row>
    <row r="3" spans="1:6">
      <c r="A3" s="6" t="s">
        <v>364</v>
      </c>
      <c r="B3" s="6" t="s">
        <v>363</v>
      </c>
      <c r="C3" s="6" t="s">
        <v>362</v>
      </c>
      <c r="D3" s="10" t="s">
        <v>380</v>
      </c>
      <c r="E3" s="10" t="s">
        <v>376</v>
      </c>
      <c r="F3" s="5" t="s">
        <v>361</v>
      </c>
    </row>
    <row r="4" spans="1:6" ht="29">
      <c r="A4" s="6" t="s">
        <v>360</v>
      </c>
      <c r="B4" s="6" t="s">
        <v>101</v>
      </c>
      <c r="C4" s="6" t="s">
        <v>359</v>
      </c>
      <c r="D4" s="7" t="s">
        <v>358</v>
      </c>
      <c r="E4" s="10" t="s">
        <v>376</v>
      </c>
      <c r="F4" s="5" t="s">
        <v>357</v>
      </c>
    </row>
    <row r="5" spans="1:6" ht="29">
      <c r="A5" s="6" t="s">
        <v>356</v>
      </c>
      <c r="B5" s="6" t="s">
        <v>354</v>
      </c>
      <c r="C5" s="6" t="s">
        <v>355</v>
      </c>
      <c r="D5" s="7" t="s">
        <v>354</v>
      </c>
      <c r="E5" s="10" t="s">
        <v>376</v>
      </c>
      <c r="F5" s="5" t="s">
        <v>353</v>
      </c>
    </row>
    <row r="6" spans="1:6">
      <c r="A6" s="6" t="s">
        <v>352</v>
      </c>
      <c r="B6" s="6" t="s">
        <v>351</v>
      </c>
      <c r="C6" s="15" t="s">
        <v>384</v>
      </c>
      <c r="D6" s="7" t="s">
        <v>351</v>
      </c>
      <c r="E6" s="10" t="s">
        <v>376</v>
      </c>
      <c r="F6" s="5" t="s">
        <v>350</v>
      </c>
    </row>
    <row r="7" spans="1:6" ht="43.5">
      <c r="A7" s="6" t="s">
        <v>349</v>
      </c>
      <c r="B7" s="15" t="s">
        <v>384</v>
      </c>
      <c r="C7" s="15" t="s">
        <v>384</v>
      </c>
      <c r="D7" s="5" t="s">
        <v>339</v>
      </c>
      <c r="E7" s="11" t="s">
        <v>377</v>
      </c>
      <c r="F7" s="11" t="s">
        <v>381</v>
      </c>
    </row>
    <row r="8" spans="1:6" ht="29">
      <c r="A8" s="6" t="s">
        <v>348</v>
      </c>
      <c r="B8" s="15" t="s">
        <v>384</v>
      </c>
      <c r="C8" s="15" t="s">
        <v>384</v>
      </c>
      <c r="D8" s="5" t="s">
        <v>341</v>
      </c>
      <c r="E8" s="5" t="s">
        <v>341</v>
      </c>
      <c r="F8" s="5" t="s">
        <v>347</v>
      </c>
    </row>
    <row r="9" spans="1:6" ht="29">
      <c r="A9" s="15" t="s">
        <v>384</v>
      </c>
      <c r="B9" s="6" t="s">
        <v>139</v>
      </c>
      <c r="C9" s="6" t="s">
        <v>139</v>
      </c>
      <c r="D9" s="8" t="s">
        <v>139</v>
      </c>
      <c r="E9" s="10" t="s">
        <v>376</v>
      </c>
      <c r="F9" s="5" t="s">
        <v>346</v>
      </c>
    </row>
    <row r="10" spans="1:6" ht="29">
      <c r="A10" s="15" t="s">
        <v>384</v>
      </c>
      <c r="B10" s="15" t="s">
        <v>384</v>
      </c>
      <c r="C10" s="6" t="s">
        <v>345</v>
      </c>
      <c r="D10" s="14" t="s">
        <v>378</v>
      </c>
      <c r="E10" s="14" t="s">
        <v>378</v>
      </c>
      <c r="F10" s="11" t="s">
        <v>373</v>
      </c>
    </row>
    <row r="11" spans="1:6">
      <c r="A11" s="15" t="s">
        <v>384</v>
      </c>
      <c r="B11" s="6" t="s">
        <v>344</v>
      </c>
      <c r="C11" s="12" t="s">
        <v>382</v>
      </c>
      <c r="D11" s="7" t="s">
        <v>344</v>
      </c>
      <c r="E11" s="10" t="s">
        <v>376</v>
      </c>
      <c r="F11" s="5" t="s">
        <v>343</v>
      </c>
    </row>
    <row r="12" spans="1:6" ht="29">
      <c r="A12" s="15" t="s">
        <v>384</v>
      </c>
      <c r="B12" s="6" t="s">
        <v>342</v>
      </c>
      <c r="C12" s="15" t="s">
        <v>384</v>
      </c>
      <c r="D12" s="5" t="s">
        <v>341</v>
      </c>
      <c r="E12" s="5" t="s">
        <v>341</v>
      </c>
      <c r="F12" s="11" t="s">
        <v>379</v>
      </c>
    </row>
    <row r="13" spans="1:6">
      <c r="A13" s="15" t="s">
        <v>384</v>
      </c>
      <c r="B13" s="6" t="s">
        <v>340</v>
      </c>
      <c r="C13" s="15" t="s">
        <v>384</v>
      </c>
      <c r="D13" s="5" t="s">
        <v>339</v>
      </c>
      <c r="E13" s="11" t="s">
        <v>377</v>
      </c>
      <c r="F13" s="5" t="s">
        <v>338</v>
      </c>
    </row>
    <row r="19" spans="4:6">
      <c r="D19" s="14" t="s">
        <v>385</v>
      </c>
    </row>
    <row r="20" spans="4:6">
      <c r="D20" s="6" t="s">
        <v>386</v>
      </c>
      <c r="E20" s="6" t="s">
        <v>374</v>
      </c>
      <c r="F20" s="6" t="s">
        <v>387</v>
      </c>
    </row>
    <row r="21" spans="4:6" ht="43.5">
      <c r="D21" s="6" t="s">
        <v>367</v>
      </c>
      <c r="E21" s="6" t="s">
        <v>375</v>
      </c>
      <c r="F21" s="6" t="s">
        <v>388</v>
      </c>
    </row>
    <row r="22" spans="4:6" ht="43.5">
      <c r="D22" s="6" t="s">
        <v>356</v>
      </c>
      <c r="E22" s="6" t="s">
        <v>376</v>
      </c>
      <c r="F22" s="6" t="s">
        <v>389</v>
      </c>
    </row>
    <row r="23" spans="4:6">
      <c r="D23" s="6" t="s">
        <v>139</v>
      </c>
      <c r="E23" s="6" t="s">
        <v>375</v>
      </c>
      <c r="F23" s="6" t="s">
        <v>390</v>
      </c>
    </row>
    <row r="24" spans="4:6" ht="43.5">
      <c r="D24" s="6" t="s">
        <v>345</v>
      </c>
      <c r="E24" s="6" t="s">
        <v>375</v>
      </c>
      <c r="F24" s="6" t="s">
        <v>391</v>
      </c>
    </row>
    <row r="25" spans="4:6" ht="29">
      <c r="D25" s="6" t="s">
        <v>342</v>
      </c>
      <c r="E25" s="6" t="s">
        <v>392</v>
      </c>
      <c r="F25" s="6" t="s">
        <v>393</v>
      </c>
    </row>
    <row r="26" spans="4:6" ht="43.5">
      <c r="D26" s="6" t="s">
        <v>348</v>
      </c>
      <c r="E26" s="6" t="s">
        <v>392</v>
      </c>
      <c r="F26" s="6" t="s">
        <v>394</v>
      </c>
    </row>
    <row r="27" spans="4:6" ht="29">
      <c r="D27" s="6" t="s">
        <v>349</v>
      </c>
      <c r="E27" s="6" t="s">
        <v>395</v>
      </c>
      <c r="F27" s="6" t="s">
        <v>396</v>
      </c>
    </row>
    <row r="28" spans="4:6" ht="29">
      <c r="D28" s="6" t="s">
        <v>340</v>
      </c>
      <c r="E28" s="6" t="s">
        <v>395</v>
      </c>
      <c r="F28" s="6" t="s">
        <v>397</v>
      </c>
    </row>
    <row r="31" spans="4:6" ht="58">
      <c r="E31" s="14"/>
      <c r="F31" s="14" t="s">
        <v>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Stakeholder Assessment</vt:lpstr>
      <vt:lpstr>Decision Guide</vt:lpstr>
      <vt:lpstr>system definition decisions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Owen O'Keefe</dc:creator>
  <cp:lastModifiedBy>Owen O'Keefe</cp:lastModifiedBy>
  <dcterms:created xsi:type="dcterms:W3CDTF">2026-09-09T20:46:41Z</dcterms:created>
  <dcterms:modified xsi:type="dcterms:W3CDTF">2026-09-22T01:12:10Z</dcterms:modified>
</cp:coreProperties>
</file>