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repos\capstone_isd\knowledge\models\"/>
    </mc:Choice>
  </mc:AlternateContent>
  <xr:revisionPtr revIDLastSave="0" documentId="13_ncr:1_{F1BAA5E0-5694-46A6-9BBC-76FDDB98A761}" xr6:coauthVersionLast="47" xr6:coauthVersionMax="47" xr10:uidLastSave="{00000000-0000-0000-0000-000000000000}"/>
  <bookViews>
    <workbookView xWindow="7770" yWindow="0" windowWidth="31080" windowHeight="20985" xr2:uid="{00000000-000D-0000-FFFF-FFFF00000000}"/>
  </bookViews>
  <sheets>
    <sheet name="Stakeholder Assessment" sheetId="1" r:id="rId1"/>
    <sheet name="Decision Guid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49" i="1" l="1"/>
  <c r="M49" i="1" s="1"/>
  <c r="L48" i="1"/>
  <c r="M48" i="1" s="1"/>
  <c r="L47" i="1"/>
  <c r="M47" i="1" s="1"/>
  <c r="L46" i="1"/>
  <c r="M46" i="1" s="1"/>
  <c r="L45" i="1"/>
  <c r="M45" i="1" s="1"/>
  <c r="L44" i="1"/>
  <c r="M44" i="1" s="1"/>
  <c r="L43" i="1"/>
  <c r="M43" i="1" s="1"/>
  <c r="L42" i="1"/>
  <c r="M42" i="1" s="1"/>
  <c r="L41" i="1"/>
  <c r="M41" i="1" s="1"/>
  <c r="L40" i="1"/>
  <c r="M40" i="1" s="1"/>
  <c r="L39" i="1"/>
  <c r="M39" i="1" s="1"/>
  <c r="L38" i="1"/>
  <c r="M38" i="1" s="1"/>
  <c r="L37" i="1"/>
  <c r="M37" i="1" s="1"/>
  <c r="L36" i="1"/>
  <c r="M36" i="1" s="1"/>
  <c r="L35" i="1"/>
  <c r="M35" i="1" s="1"/>
  <c r="L34" i="1"/>
  <c r="M34" i="1" s="1"/>
  <c r="L33" i="1"/>
  <c r="M33" i="1" s="1"/>
  <c r="L32" i="1"/>
  <c r="M32" i="1" s="1"/>
  <c r="L31" i="1"/>
  <c r="M31" i="1" s="1"/>
  <c r="L30" i="1"/>
  <c r="M30" i="1" s="1"/>
  <c r="L29" i="1"/>
  <c r="M29" i="1" s="1"/>
  <c r="L28" i="1"/>
  <c r="M28" i="1" s="1"/>
  <c r="L27" i="1"/>
  <c r="M27" i="1" s="1"/>
  <c r="L26" i="1"/>
  <c r="M26" i="1" s="1"/>
  <c r="L25" i="1"/>
  <c r="M25" i="1" s="1"/>
  <c r="L24" i="1"/>
  <c r="M24" i="1" s="1"/>
  <c r="L23" i="1"/>
  <c r="M23" i="1" s="1"/>
  <c r="L22" i="1"/>
  <c r="M22" i="1" s="1"/>
  <c r="L21" i="1"/>
  <c r="M21" i="1" s="1"/>
  <c r="L20" i="1"/>
  <c r="M20" i="1" s="1"/>
  <c r="L19" i="1"/>
  <c r="M19" i="1" s="1"/>
  <c r="L18" i="1"/>
  <c r="M18" i="1" s="1"/>
  <c r="L17" i="1"/>
  <c r="M17" i="1" s="1"/>
  <c r="L16" i="1"/>
  <c r="M16" i="1" s="1"/>
  <c r="L15" i="1"/>
  <c r="M15" i="1" s="1"/>
  <c r="L14" i="1"/>
  <c r="M14" i="1" s="1"/>
  <c r="L13" i="1"/>
  <c r="M13" i="1" s="1"/>
  <c r="L12" i="1"/>
  <c r="M12" i="1" s="1"/>
  <c r="L11" i="1"/>
  <c r="M11" i="1" s="1"/>
  <c r="L10" i="1"/>
  <c r="M10" i="1" s="1"/>
  <c r="L9" i="1"/>
  <c r="M9" i="1" s="1"/>
  <c r="L8" i="1"/>
  <c r="M8" i="1" s="1"/>
  <c r="L7" i="1"/>
  <c r="M7" i="1" s="1"/>
  <c r="L6" i="1"/>
  <c r="M6" i="1" s="1"/>
  <c r="L5" i="1"/>
  <c r="M5" i="1" s="1"/>
  <c r="L4" i="1"/>
  <c r="M4" i="1" s="1"/>
  <c r="L3" i="1"/>
  <c r="M3" i="1" s="1"/>
  <c r="L2" i="1"/>
  <c r="M2" i="1" s="1"/>
</calcChain>
</file>

<file path=xl/sharedStrings.xml><?xml version="1.0" encoding="utf-8"?>
<sst xmlns="http://schemas.openxmlformats.org/spreadsheetml/2006/main" count="558" uniqueCount="338">
  <si>
    <t>PESTLE Domain</t>
  </si>
  <si>
    <t>Stakeholder</t>
  </si>
  <si>
    <t>Stated Interest</t>
  </si>
  <si>
    <t>Candidate MOP(s)</t>
  </si>
  <si>
    <t>Candidate MOE(s)</t>
  </si>
  <si>
    <t>Trajectory-Decision Impact</t>
  </si>
  <si>
    <t>Abstraction Comment</t>
  </si>
  <si>
    <t>Standalone Importance</t>
  </si>
  <si>
    <t>Standalone / Consolidation Rationale</t>
  </si>
  <si>
    <t>Decision Score</t>
  </si>
  <si>
    <t>Recommended Treatment</t>
  </si>
  <si>
    <t>Political</t>
  </si>
  <si>
    <t>Federal Aviation Administration</t>
  </si>
  <si>
    <t>Safe and efficient airspace</t>
  </si>
  <si>
    <t>Hard constraint; Optimization objective; MOE</t>
  </si>
  <si>
    <t>Separation compliance; delay; throughput; sector occupancy</t>
  </si>
  <si>
    <t>NAS safety; efficiency/capacity</t>
  </si>
  <si>
    <t>Yes</t>
  </si>
  <si>
    <t>High operational detail; decompose service-provider vs regulator only where authority differs.</t>
  </si>
  <si>
    <t>High</t>
  </si>
  <si>
    <t>Core trajectory authority/constraint setter.</t>
  </si>
  <si>
    <t>National Transportation Safety Board</t>
  </si>
  <si>
    <t>Prevent accidents</t>
  </si>
  <si>
    <t>MOE</t>
  </si>
  <si>
    <t>Safety-event precursors</t>
  </si>
  <si>
    <t>Accident/incident reduction</t>
  </si>
  <si>
    <t>Indirect</t>
  </si>
  <si>
    <t>Oversight/investigation boundary; minimal operational detail.</t>
  </si>
  <si>
    <t>Low</t>
  </si>
  <si>
    <t>Governance feedback, not an operational trajectory actor.</t>
  </si>
  <si>
    <t>Department of Transportation</t>
  </si>
  <si>
    <t>National transportation policy</t>
  </si>
  <si>
    <t>Optimization objective; MOE</t>
  </si>
  <si>
    <t>Policy compliance; network accessibility/capacity</t>
  </si>
  <si>
    <t>National mobility/public value</t>
  </si>
  <si>
    <t>Coarse policy boundary.</t>
  </si>
  <si>
    <t>Objectives generally flow through FAA/operators.</t>
  </si>
  <si>
    <t>Department of Defense</t>
  </si>
  <si>
    <t>National security and airspace access</t>
  </si>
  <si>
    <t>Special-use airspace availability; mission timing; priority access</t>
  </si>
  <si>
    <t>Mission effectiveness/readiness</t>
  </si>
  <si>
    <t>Model authority, priority rules, reservations, mission needs.</t>
  </si>
  <si>
    <t>Distinct access/priority objectives materially alter trajectories.</t>
  </si>
  <si>
    <t>ICAO</t>
  </si>
  <si>
    <t>International standards</t>
  </si>
  <si>
    <t>Hard constraint; MOE</t>
  </si>
  <si>
    <t>Standards/procedure compliance; interoperability</t>
  </si>
  <si>
    <t>International interoperability/safety</t>
  </si>
  <si>
    <t>Standards/governance boundary unless international ops are central.</t>
  </si>
  <si>
    <t>Medium</t>
  </si>
  <si>
    <t>Distinct source of constraints, not normally operational.</t>
  </si>
  <si>
    <t>Congress and legislatures</t>
  </si>
  <si>
    <t>Economic growth and public accountability</t>
  </si>
  <si>
    <t>Budget/statutory targets</t>
  </si>
  <si>
    <t>Public value; economic growth; accountability</t>
  </si>
  <si>
    <t>Very coarse governance/budget boundary.</t>
  </si>
  <si>
    <t>Aggregate into policy environment unless governance trades are central.</t>
  </si>
  <si>
    <t>State and local governments</t>
  </si>
  <si>
    <t>Airports, jobs, and noise concerns</t>
  </si>
  <si>
    <t>Noise limits; curfews; local operating restrictions</t>
  </si>
  <si>
    <t>Local economic benefit; community acceptability</t>
  </si>
  <si>
    <t>Model local constraints where operationally binding.</t>
  </si>
  <si>
    <t>Standalone where curfews/noise/airport ownership affect trajectories.</t>
  </si>
  <si>
    <t>Militaries</t>
  </si>
  <si>
    <t>Navigable airspace &amp; resources with priority</t>
  </si>
  <si>
    <t>Airspace reservation; mission timing; priority status</t>
  </si>
  <si>
    <t>Mission success/readiness</t>
  </si>
  <si>
    <t>Model mission-user needs and priority/access interfaces.</t>
  </si>
  <si>
    <t>Separate from DoD governance if mission-level trades are studied.</t>
  </si>
  <si>
    <t>Economic</t>
  </si>
  <si>
    <t>Airlines</t>
  </si>
  <si>
    <t>Profitability</t>
  </si>
  <si>
    <t>Optimization objective; Cost/penalty; MOE</t>
  </si>
  <si>
    <t>Fuel; block time; delay; crew/maintenance cost</t>
  </si>
  <si>
    <t>Profitability; network reliability</t>
  </si>
  <si>
    <t>High detail for dispatch/operations; abstract corporate internals.</t>
  </si>
  <si>
    <t>Core trajectory optimizer/operator.</t>
  </si>
  <si>
    <t>Cargo operators</t>
  </si>
  <si>
    <t>Throughput and reliability</t>
  </si>
  <si>
    <t>Block time; OTP; payload; missed sort connection</t>
  </si>
  <si>
    <t>Network throughput; delivery reliability</t>
  </si>
  <si>
    <t>Model network/dispatch constraints.</t>
  </si>
  <si>
    <t>Distinct timing/network economics from passenger airlines.</t>
  </si>
  <si>
    <t>Adjacent Airspace Users</t>
  </si>
  <si>
    <t>Boundary crossing time; demand/capacity; imposed delay</t>
  </si>
  <si>
    <t>Network throughput; fairness/reliability</t>
  </si>
  <si>
    <t>Represent neighboring traffic/ANSP resource coupling.</t>
  </si>
  <si>
    <t>Captures SoS externalities imposed on other users.</t>
  </si>
  <si>
    <t>Aircraft manufacturers</t>
  </si>
  <si>
    <t>Product competitiveness</t>
  </si>
  <si>
    <t>Performance envelope; fuel efficiency; dispatch reliability</t>
  </si>
  <si>
    <t>Product competitiveness/lifecycle value</t>
  </si>
  <si>
    <t>Treat capability as aircraft boundary properties.</t>
  </si>
  <si>
    <t>Vehicle capability matters more than manufacturer actor.</t>
  </si>
  <si>
    <t>Engine manufacturers</t>
  </si>
  <si>
    <t>Product performance and aftermarket revenue</t>
  </si>
  <si>
    <t>Optimization objective; MOP; MOE</t>
  </si>
  <si>
    <t>SFC/fuel flow; thrust limits; temperature margins; cycles</t>
  </si>
  <si>
    <t>Engine lifecycle value/reliability</t>
  </si>
  <si>
    <t>Model engine limits/performance as subsystem parameters.</t>
  </si>
  <si>
    <t>Manufacturer rarely needs operational stakeholder status.</t>
  </si>
  <si>
    <t>Airports</t>
  </si>
  <si>
    <t>Revenue and capacity</t>
  </si>
  <si>
    <t>Runway/gate capacity; taxi time; movements/hour</t>
  </si>
  <si>
    <t>Airport throughput/revenue/connectivity</t>
  </si>
  <si>
    <t>Model airport resources/capacity interfaces.</t>
  </si>
  <si>
    <t>Surface/capacity constraints directly couple to timing.</t>
  </si>
  <si>
    <t>Investors and shareholders</t>
  </si>
  <si>
    <t>Return on investment</t>
  </si>
  <si>
    <t>Operating margin; asset utilization</t>
  </si>
  <si>
    <t>ROI/shareholder value</t>
  </si>
  <si>
    <t>Enterprise objective only.</t>
  </si>
  <si>
    <t>Too abstract unless enterprise finance is in scope.</t>
  </si>
  <si>
    <t>Lessors</t>
  </si>
  <si>
    <t>Return conditions</t>
  </si>
  <si>
    <t>Hard constraint; Cost/penalty; MOE</t>
  </si>
  <si>
    <t>Cycles/hours; maintenance condition; utilization</t>
  </si>
  <si>
    <t>Residual value/lease-return cost</t>
  </si>
  <si>
    <t>Coarse lifecycle constraints/penalties.</t>
  </si>
  <si>
    <t>Mediated through fleet/maintenance policy.</t>
  </si>
  <si>
    <t>Insurers</t>
  </si>
  <si>
    <t>Risk reduction</t>
  </si>
  <si>
    <t>Cost/penalty; MOE</t>
  </si>
  <si>
    <t>Exposure/risk indicators; incident rates</t>
  </si>
  <si>
    <t>Expected loss/insured risk</t>
  </si>
  <si>
    <t>Represent risk pricing coarsely.</t>
  </si>
  <si>
    <t>Safety risk can be captured without insurer behavior.</t>
  </si>
  <si>
    <t>Labor unions</t>
  </si>
  <si>
    <t>Compensation and job security</t>
  </si>
  <si>
    <t>Duty rules; staffing; overtime</t>
  </si>
  <si>
    <t>Worker welfare/employment stability</t>
  </si>
  <si>
    <t>Model contractual rules through crew/operator.</t>
  </si>
  <si>
    <t>Standalone if work-rule tradeoffs are explicit.</t>
  </si>
  <si>
    <t>Fuel suppliers</t>
  </si>
  <si>
    <t>Fuel demand</t>
  </si>
  <si>
    <t>Fuel uplift/demand; fueling time</t>
  </si>
  <si>
    <t>Sales/availability/supply reliability</t>
  </si>
  <si>
    <t>Fuel price/availability as boundary inputs.</t>
  </si>
  <si>
    <t>Fuel is important; supplier objective usually is not.</t>
  </si>
  <si>
    <t>Passengers</t>
  </si>
  <si>
    <t>Affordable travel</t>
  </si>
  <si>
    <t>Fare; delay; travel time; missed connections</t>
  </si>
  <si>
    <t>Affordability/trip utility</t>
  </si>
  <si>
    <t>Aggregate passenger value-of-time/demand.</t>
  </si>
  <si>
    <t>End beneficiary/bearer of optimization outcomes.</t>
  </si>
  <si>
    <t>Social</t>
  </si>
  <si>
    <t>Safety and convenience</t>
  </si>
  <si>
    <t>Delay; connection success; turbulence exposure</t>
  </si>
  <si>
    <t>Door-to-door utility; perceived safety</t>
  </si>
  <si>
    <t>Combine with economic passenger row.</t>
  </si>
  <si>
    <t>Consolidate duplicate stakeholder with multiple objectives.</t>
  </si>
  <si>
    <t>Flight crews</t>
  </si>
  <si>
    <t>Workload and quality of life</t>
  </si>
  <si>
    <t>Hard constraint; Cost/penalty; MOP; MOE</t>
  </si>
  <si>
    <t>Duty time; workload events; reroutes; automation interactions</t>
  </si>
  <si>
    <t>Crew safety; fatigue risk; quality of life</t>
  </si>
  <si>
    <t>Model pilot interaction and operational constraints.</t>
  </si>
  <si>
    <t>Direct participant in intent-to-trajectory chain.</t>
  </si>
  <si>
    <t>Cabin crews</t>
  </si>
  <si>
    <t>Safety and operational effectiveness</t>
  </si>
  <si>
    <t>Hard constraint; MOP; MOE</t>
  </si>
  <si>
    <t>Duty time; turbulence events; turnaround timing</t>
  </si>
  <si>
    <t>Cabin safety/service effectiveness</t>
  </si>
  <si>
    <t>Coarse constraints unless cabin ops are central.</t>
  </si>
  <si>
    <t>Mostly mediated through flight operations.</t>
  </si>
  <si>
    <t>Local communities</t>
  </si>
  <si>
    <t>Noise and environmental impacts</t>
  </si>
  <si>
    <t>DNL/SEL; overflight count; local emissions</t>
  </si>
  <si>
    <t>Community health/acceptability</t>
  </si>
  <si>
    <t>Geographically resolve exposure enough to compare trajectories.</t>
  </si>
  <si>
    <t>Canonical externality stakeholder.</t>
  </si>
  <si>
    <t>Families of passengers</t>
  </si>
  <si>
    <t>Safety</t>
  </si>
  <si>
    <t>Safety proxies inherited from operations</t>
  </si>
  <si>
    <t>Passenger safety assurance</t>
  </si>
  <si>
    <t>Fold into passenger/societal safety.</t>
  </si>
  <si>
    <t>Not operationally distinct from passengers/public.</t>
  </si>
  <si>
    <t>No</t>
  </si>
  <si>
    <t>Tourism industry</t>
  </si>
  <si>
    <t>Mobility and economic activity</t>
  </si>
  <si>
    <t>Seat capacity; connectivity; frequency</t>
  </si>
  <si>
    <t>Tourism access/economic activity</t>
  </si>
  <si>
    <t>Represent via demand/connectivity if needed.</t>
  </si>
  <si>
    <t>Downstream of airline/airport performance.</t>
  </si>
  <si>
    <t>Business travelers</t>
  </si>
  <si>
    <t>Schedule reliability</t>
  </si>
  <si>
    <t>On-time arrival; connection success; travel-time variance</t>
  </si>
  <si>
    <t>Business trip utility/productivity</t>
  </si>
  <si>
    <t>Passenger segment, not necessarily separate actor.</t>
  </si>
  <si>
    <t>Use as passenger segment only if heterogeneity matters.</t>
  </si>
  <si>
    <t>Trainers &amp; Educators</t>
  </si>
  <si>
    <t>Regulatory stability &amp; standard definitions</t>
  </si>
  <si>
    <t>Training changes; procedure stability</t>
  </si>
  <si>
    <t>Training effectiveness/workforce readiness</t>
  </si>
  <si>
    <t>Lifecycle/support stakeholder.</t>
  </si>
  <si>
    <t>Minimal trajectory coupling.</t>
  </si>
  <si>
    <t>Technical</t>
  </si>
  <si>
    <t>Aircraft systems engineers</t>
  </si>
  <si>
    <t>System performance</t>
  </si>
  <si>
    <t>MOP; Optimization objective</t>
  </si>
  <si>
    <t>Guidance accuracy; compute load; performance margins</t>
  </si>
  <si>
    <t>Aircraft/system mission performance</t>
  </si>
  <si>
    <t>Allocate requirements to systems, not engineer persona.</t>
  </si>
  <si>
    <t>System objective matters more than stakeholder identity.</t>
  </si>
  <si>
    <t>Software developers</t>
  </si>
  <si>
    <t>Correct implementation</t>
  </si>
  <si>
    <t>Hard constraint; MOP</t>
  </si>
  <si>
    <t>Defect rate; test coverage; timing/resource use</t>
  </si>
  <si>
    <t>Software assurance/correctness</t>
  </si>
  <si>
    <t>Lifecycle stakeholder; abstract from operations.</t>
  </si>
  <si>
    <t>Not an operational trade-study actor.</t>
  </si>
  <si>
    <t>Maintenance personnel</t>
  </si>
  <si>
    <t>Maintainability</t>
  </si>
  <si>
    <t>Cost/penalty; MOP; MOE</t>
  </si>
  <si>
    <t>Maintenance hours; cycles; exceedance events; wear</t>
  </si>
  <si>
    <t>Availability; lifecycle cost; dispatch reliability</t>
  </si>
  <si>
    <t>Represent maintenance consequences/constraints.</t>
  </si>
  <si>
    <t>Standalone if lifecycle cost is an explicit trade dimension.</t>
  </si>
  <si>
    <t>Air traffic controllers</t>
  </si>
  <si>
    <t>Predictable aircraft behavior</t>
  </si>
  <si>
    <t>Safe/manageable traffic flow</t>
  </si>
  <si>
    <t>High detail in clearances, conformance, workload.</t>
  </si>
  <si>
    <t>Central actor in trajectory negotiation/execution.</t>
  </si>
  <si>
    <t>Dispatchers</t>
  </si>
  <si>
    <t>Operational optimization</t>
  </si>
  <si>
    <t>Optimization objective; Cost/penalty; MOP; MOE</t>
  </si>
  <si>
    <t>Fuel; time; route cost; weather exposure; schedule recovery</t>
  </si>
  <si>
    <t>Flight/network efficiency and reliability</t>
  </si>
  <si>
    <t>High detail in planning and airline objective function.</t>
  </si>
  <si>
    <t>Direct decision-maker in intent generation.</t>
  </si>
  <si>
    <t>Avionics suppliers</t>
  </si>
  <si>
    <t>System integration</t>
  </si>
  <si>
    <t>Interface compliance; latency; accuracy; interoperability</t>
  </si>
  <si>
    <t>Integrated capability/reliability</t>
  </si>
  <si>
    <t>Model interface constraints; abstract supplier org.</t>
  </si>
  <si>
    <t>Technical constraints matter more than supplier identity.</t>
  </si>
  <si>
    <t>Researchers and universities</t>
  </si>
  <si>
    <t>Innovation</t>
  </si>
  <si>
    <t>TRL; demonstrated performance improvement</t>
  </si>
  <si>
    <t>Knowledge/innovation impact</t>
  </si>
  <si>
    <t>Outside operational boundary.</t>
  </si>
  <si>
    <t>Research ecosystem, not trajectory stakeholder.</t>
  </si>
  <si>
    <t>Certification engineers</t>
  </si>
  <si>
    <t>Verification evidence</t>
  </si>
  <si>
    <t>Requirements coverage; verification completeness; assurance level</t>
  </si>
  <si>
    <t>Certification confidence/compliance</t>
  </si>
  <si>
    <t>Lifecycle assurance boundary.</t>
  </si>
  <si>
    <t>Certification constrains deployment, not day-of-op trajectory.</t>
  </si>
  <si>
    <t>Legal</t>
  </si>
  <si>
    <t>Certification authorities</t>
  </si>
  <si>
    <t>Regulatory compliance</t>
  </si>
  <si>
    <t>Airworthiness/operational compliance</t>
  </si>
  <si>
    <t>Acceptable safety/compliance</t>
  </si>
  <si>
    <t>Rules as constraints; split from service provider if needed.</t>
  </si>
  <si>
    <t>Could consolidate with FAA/EASA regulatory role.</t>
  </si>
  <si>
    <t>Courts</t>
  </si>
  <si>
    <t>Liability resolution</t>
  </si>
  <si>
    <t>Claims/case outcomes</t>
  </si>
  <si>
    <t>Liability resolution/accountability</t>
  </si>
  <si>
    <t>External governance boundary.</t>
  </si>
  <si>
    <t>No operational trajectory role.</t>
  </si>
  <si>
    <t>Aviation lawyers</t>
  </si>
  <si>
    <t>Compliance and risk</t>
  </si>
  <si>
    <t>Legal exposure/compliance findings</t>
  </si>
  <si>
    <t>Legal risk</t>
  </si>
  <si>
    <t>External advisory role.</t>
  </si>
  <si>
    <t>No standalone need for trajectory optimization.</t>
  </si>
  <si>
    <t>Labor regulators</t>
  </si>
  <si>
    <t>Worker protections</t>
  </si>
  <si>
    <t>Duty/rest/workplace compliance</t>
  </si>
  <si>
    <t>Worker safety/fairness</t>
  </si>
  <si>
    <t>Rules as constraints on operators/crews.</t>
  </si>
  <si>
    <t>Can be represented without regulator behavior.</t>
  </si>
  <si>
    <t>Privacy regulators</t>
  </si>
  <si>
    <t>Passenger data protection</t>
  </si>
  <si>
    <t>Data-use/access compliance</t>
  </si>
  <si>
    <t>Privacy protection</t>
  </si>
  <si>
    <t>Boundary constraint.</t>
  </si>
  <si>
    <t>Weak trajectory coupling unless data sharing is central.</t>
  </si>
  <si>
    <t>International treaty organizations</t>
  </si>
  <si>
    <t>Harmonization of standards</t>
  </si>
  <si>
    <t>Treaty/standard compliance; interoperability</t>
  </si>
  <si>
    <t>International harmonization</t>
  </si>
  <si>
    <t>Coarse governance boundary.</t>
  </si>
  <si>
    <t>Often overlaps ICAO; consolidate.</t>
  </si>
  <si>
    <t>Environmental</t>
  </si>
  <si>
    <t>Environmental advocacy groups</t>
  </si>
  <si>
    <t>Reduced emissions</t>
  </si>
  <si>
    <t>CO2/NOx/contrail proxies</t>
  </si>
  <si>
    <t>Climate/environmental impact reduction</t>
  </si>
  <si>
    <t>Preference/policy boundary; little internal detail.</t>
  </si>
  <si>
    <t>Can be explicit preference-holder or societal objective.</t>
  </si>
  <si>
    <t>Reduced noise</t>
  </si>
  <si>
    <t>Noise exposure; overflight count</t>
  </si>
  <si>
    <t>Community noise burden/acceptability</t>
  </si>
  <si>
    <t>Combine with social local-community row.</t>
  </si>
  <si>
    <t>Direct trajectory-sensitive externality.</t>
  </si>
  <si>
    <t>Climate organizations</t>
  </si>
  <si>
    <t>Decarbonization</t>
  </si>
  <si>
    <t>CO2e; non-CO2 climate proxies</t>
  </si>
  <si>
    <t>Aviation climate impact</t>
  </si>
  <si>
    <t>Combine with advocacy if stakeholder proliferation is a concern.</t>
  </si>
  <si>
    <t>Often redundant with environmental/government climate objectives.</t>
  </si>
  <si>
    <t>Airport authorities</t>
  </si>
  <si>
    <t>Sustainable operations</t>
  </si>
  <si>
    <t>Hard constraint; Optimization objective; MOP; MOE</t>
  </si>
  <si>
    <t>Local emissions; energy; surface delay; noise</t>
  </si>
  <si>
    <t>Sustainable airport operations</t>
  </si>
  <si>
    <t>Combine with Airports unless authority/operator distinction matters.</t>
  </si>
  <si>
    <t>Future generations (societal proxy)</t>
  </si>
  <si>
    <t>Long-term sustainability</t>
  </si>
  <si>
    <t>Lifecycle CO2e/climate forcing proxies</t>
  </si>
  <si>
    <t>Intergenerational sustainability</t>
  </si>
  <si>
    <t>Use as value perspective, not active actor.</t>
  </si>
  <si>
    <t>Better modeled as an MOE than stakeholder block.</t>
  </si>
  <si>
    <t>Governments</t>
  </si>
  <si>
    <t>Emissions targets</t>
  </si>
  <si>
    <t>Fleet/sector emissions vs target/budget</t>
  </si>
  <si>
    <t>Policy target attainment/decarbonization</t>
  </si>
  <si>
    <t>Allocate to specific government entities.</t>
  </si>
  <si>
    <t>Important objective, but 'governments' is too broad.</t>
  </si>
  <si>
    <t>Capstone Stakeholder Decision Guide</t>
  </si>
  <si>
    <t>Purpose</t>
  </si>
  <si>
    <t>Use the assessment sheet to decide whether an entity needs its own stakeholder block/viewpoint, should be consolidated with another stakeholder, or should enter the model only as a boundary constraint/objective.</t>
  </si>
  <si>
    <t>Criterion</t>
  </si>
  <si>
    <t>Interpretation</t>
  </si>
  <si>
    <t>High = distinct objectives/authority/externalities worth preserving; Medium = context-dependent; Low = usually better represented through another stakeholder or as a model input.</t>
  </si>
  <si>
    <t>Yes = route/altitude/speed/timing directly changes its objective; Indirect = effect is mediated by another operational decision; No = little meaningful coupling to trajectory trades.</t>
  </si>
  <si>
    <t>Importance: High=3, Medium=2, Low=1; trajectory impact: Yes=2, Indirect=1, No=0.</t>
  </si>
  <si>
    <t>5 = Standalone; 3–4 = Consider / Consolidate; 1–2 = Boundary input / omit.</t>
  </si>
  <si>
    <t>Modeling principle</t>
  </si>
  <si>
    <t>A stakeholder is more useful as standalone when it has a distinct objective function, decision authority, constraint-setting authority, or bears a trajectory externality that would otherwise disappear when aggregated.</t>
  </si>
  <si>
    <t>Duplicate candidates</t>
  </si>
  <si>
    <t>Passengers; Local communities; Airports/Airport authorities; FAA/Certification authorities; ICAO/International treaty organizations; DoD/Militaries; Environmental advocacy/Climate organizations; Governments should be allocated to specific entities.</t>
  </si>
  <si>
    <t>Separation; intervention count; complexity/workload; conformance; sector occupancy</t>
  </si>
  <si>
    <t>Classification</t>
  </si>
  <si>
    <t>Trajectory Sensitivity</t>
  </si>
  <si>
    <t>Consolidate with Airports.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</si>
</sst>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FFFFFF"/>
      <name val="Carlito"/>
    </font>
    <font>
      <b/>
      <sz val="16"/>
      <color rgb="FFFFFFFF"/>
      <name val="Carlito"/>
    </font>
    <font>
      <b/>
      <sz val="11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 applyAlignment="1">
      <alignment vertical="center" wrapText="1"/>
    </xf>
    <xf numFmtId="0" fontId="0" fillId="0" borderId="0" xfId="0" applyAlignment="1">
      <alignment wrapText="1"/>
    </xf>
    <xf numFmtId="0" fontId="3" fillId="3" borderId="0" xfId="0" applyFont="1" applyFill="1" applyAlignment="1">
      <alignment wrapText="1"/>
    </xf>
    <xf numFmtId="0" fontId="2" fillId="2" borderId="0" xfId="0" applyFont="1" applyFill="1" applyAlignment="1">
      <alignment horizontal="center"/>
    </xf>
    <xf numFmtId="0" fontId="1" fillId="2" borderId="0" xfId="0" applyFont="1" applyFill="1" applyAlignment="1">
      <alignment vertical="center"/>
    </xf>
    <xf numFmtId="0" fontId="0" fillId="0" borderId="0" xfId="0" applyAlignment="1"/>
  </cellXfs>
  <cellStyles count="1">
    <cellStyle name="Normal" xfId="0" builtinId="0"/>
  </cellStyles>
  <dxfs count="6"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006100"/>
      </font>
      <fill>
        <patternFill patternType="solid">
          <bgColor rgb="FFC6EFCE"/>
        </patternFill>
      </fill>
    </dxf>
    <dxf>
      <alignment horizontal="general" textRotation="0" wrapText="0" indent="0" justifyLastLine="0" shrinkToFit="0" readingOrder="0"/>
    </dxf>
    <dxf>
      <alignment horizontal="general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takeholderAssessment" displayName="StakeholderAssessment" ref="A1:M49" totalsRowShown="0">
  <autoFilter ref="A1:M49" xr:uid="{00000000-000C-0000-FFFF-FFFF00000000}">
    <filterColumn colId="11">
      <filters>
        <filter val="3"/>
        <filter val="4"/>
        <filter val="5"/>
      </filters>
    </filterColumn>
  </autoFilter>
  <tableColumns count="13">
    <tableColumn id="1" xr3:uid="{00000000-0010-0000-0000-000001000000}" name="PESTLE Domain"/>
    <tableColumn id="2" xr3:uid="{00000000-0010-0000-0000-000002000000}" name="Stakeholder"/>
    <tableColumn id="3" xr3:uid="{00000000-0010-0000-0000-000003000000}" name="Stated Interest"/>
    <tableColumn id="4" xr3:uid="{00000000-0010-0000-0000-000004000000}" name="Classification"/>
    <tableColumn id="5" xr3:uid="{00000000-0010-0000-0000-000005000000}" name="Candidate MOP(s)"/>
    <tableColumn id="6" xr3:uid="{00000000-0010-0000-0000-000006000000}" name="Candidate MOE(s)"/>
    <tableColumn id="7" xr3:uid="{00000000-0010-0000-0000-000007000000}" name="Trajectory-Decision Impact"/>
    <tableColumn id="13" xr3:uid="{529CB380-7677-4B03-96BF-BC4DF67379D3}" name="Trajectory Sensitivity" dataDxfId="5"/>
    <tableColumn id="8" xr3:uid="{00000000-0010-0000-0000-000008000000}" name="Abstraction Comment" dataDxfId="4"/>
    <tableColumn id="9" xr3:uid="{00000000-0010-0000-0000-000009000000}" name="Standalone Importance"/>
    <tableColumn id="10" xr3:uid="{00000000-0010-0000-0000-00000A000000}" name="Standalone / Consolidation Rationale" dataDxfId="3"/>
    <tableColumn id="11" xr3:uid="{00000000-0010-0000-0000-00000B000000}" name="Decision Score"/>
    <tableColumn id="12" xr3:uid="{00000000-0010-0000-0000-00000C000000}" name="Recommended Treatment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9"/>
  <sheetViews>
    <sheetView tabSelected="1" workbookViewId="0">
      <pane xSplit="2" topLeftCell="I1" activePane="topRight" state="frozen"/>
      <selection pane="topRight" activeCell="K12" sqref="K12"/>
    </sheetView>
  </sheetViews>
  <sheetFormatPr defaultRowHeight="14"/>
  <cols>
    <col min="1" max="1" width="15.5" bestFit="1" customWidth="1"/>
    <col min="2" max="2" width="31.25" bestFit="1" customWidth="1"/>
    <col min="3" max="3" width="39.25" bestFit="1" customWidth="1"/>
    <col min="4" max="4" width="43.33203125" bestFit="1" customWidth="1"/>
    <col min="5" max="5" width="40.4140625" customWidth="1"/>
    <col min="6" max="6" width="41" bestFit="1" customWidth="1"/>
    <col min="7" max="7" width="20.08203125" customWidth="1"/>
    <col min="8" max="8" width="19.4140625" customWidth="1"/>
    <col min="9" max="9" width="29.1640625" style="6" customWidth="1"/>
    <col min="10" max="10" width="21.58203125" bestFit="1" customWidth="1"/>
    <col min="11" max="11" width="58.83203125" style="6" customWidth="1"/>
    <col min="12" max="12" width="14.5" bestFit="1" customWidth="1"/>
    <col min="13" max="13" width="24.08203125" bestFit="1" customWidth="1"/>
  </cols>
  <sheetData>
    <row r="1" spans="1:13" ht="28">
      <c r="A1" s="1" t="s">
        <v>0</v>
      </c>
      <c r="B1" s="1" t="s">
        <v>1</v>
      </c>
      <c r="C1" s="1" t="s">
        <v>2</v>
      </c>
      <c r="D1" s="1" t="s">
        <v>335</v>
      </c>
      <c r="E1" s="1" t="s">
        <v>3</v>
      </c>
      <c r="F1" s="1" t="s">
        <v>4</v>
      </c>
      <c r="G1" s="1" t="s">
        <v>5</v>
      </c>
      <c r="H1" s="1" t="s">
        <v>336</v>
      </c>
      <c r="I1" s="5" t="s">
        <v>6</v>
      </c>
      <c r="J1" s="1" t="s">
        <v>7</v>
      </c>
      <c r="K1" s="5" t="s">
        <v>8</v>
      </c>
      <c r="L1" s="1" t="s">
        <v>9</v>
      </c>
      <c r="M1" s="1" t="s">
        <v>10</v>
      </c>
    </row>
    <row r="2" spans="1:13" ht="28">
      <c r="A2" s="2" t="s">
        <v>11</v>
      </c>
      <c r="B2" s="2" t="s">
        <v>12</v>
      </c>
      <c r="C2" s="2" t="s">
        <v>13</v>
      </c>
      <c r="D2" s="2" t="s">
        <v>14</v>
      </c>
      <c r="E2" s="2" t="s">
        <v>15</v>
      </c>
      <c r="F2" s="2" t="s">
        <v>16</v>
      </c>
      <c r="G2" s="2" t="s">
        <v>177</v>
      </c>
      <c r="H2" s="2" t="s">
        <v>26</v>
      </c>
      <c r="I2" s="6" t="s">
        <v>18</v>
      </c>
      <c r="J2" s="2" t="s">
        <v>19</v>
      </c>
      <c r="K2" s="6" t="s">
        <v>20</v>
      </c>
      <c r="L2" s="2">
        <f t="shared" ref="L2:L32" si="0">IF(J2="High",3,IF(J2="Medium",2,1))+IF(G2="Yes",2,IF(G2="Indirect",1,0))</f>
        <v>3</v>
      </c>
      <c r="M2" s="2" t="str">
        <f t="shared" ref="M2:M32" si="1">IF(L2&gt;=5,"Standalone",IF(L2&gt;=3,"Consider / Consolidate","Boundary input / omit"))</f>
        <v>Consider / Consolidate</v>
      </c>
    </row>
    <row r="3" spans="1:13" ht="14" hidden="1" customHeight="1">
      <c r="A3" s="2" t="s">
        <v>11</v>
      </c>
      <c r="B3" s="2" t="s">
        <v>21</v>
      </c>
      <c r="C3" s="2" t="s">
        <v>22</v>
      </c>
      <c r="D3" s="2" t="s">
        <v>23</v>
      </c>
      <c r="E3" s="2" t="s">
        <v>24</v>
      </c>
      <c r="F3" s="2" t="s">
        <v>25</v>
      </c>
      <c r="G3" s="2" t="s">
        <v>177</v>
      </c>
      <c r="H3" s="2" t="s">
        <v>26</v>
      </c>
      <c r="I3" s="6" t="s">
        <v>27</v>
      </c>
      <c r="J3" s="2" t="s">
        <v>28</v>
      </c>
      <c r="K3" s="6" t="s">
        <v>29</v>
      </c>
      <c r="L3" s="2">
        <f t="shared" si="0"/>
        <v>1</v>
      </c>
      <c r="M3" s="2" t="str">
        <f t="shared" si="1"/>
        <v>Boundary input / omit</v>
      </c>
    </row>
    <row r="4" spans="1:13" hidden="1">
      <c r="A4" s="2" t="s">
        <v>11</v>
      </c>
      <c r="B4" s="2" t="s">
        <v>30</v>
      </c>
      <c r="C4" s="2" t="s">
        <v>31</v>
      </c>
      <c r="D4" s="2" t="s">
        <v>32</v>
      </c>
      <c r="E4" s="2" t="s">
        <v>33</v>
      </c>
      <c r="F4" s="2" t="s">
        <v>34</v>
      </c>
      <c r="G4" s="2" t="s">
        <v>177</v>
      </c>
      <c r="H4" s="2" t="s">
        <v>26</v>
      </c>
      <c r="I4" s="6" t="s">
        <v>35</v>
      </c>
      <c r="J4" s="2" t="s">
        <v>28</v>
      </c>
      <c r="K4" s="6" t="s">
        <v>36</v>
      </c>
      <c r="L4" s="2">
        <f t="shared" si="0"/>
        <v>1</v>
      </c>
      <c r="M4" s="2" t="str">
        <f t="shared" si="1"/>
        <v>Boundary input / omit</v>
      </c>
    </row>
    <row r="5" spans="1:13" hidden="1">
      <c r="A5" s="2" t="s">
        <v>11</v>
      </c>
      <c r="B5" s="2" t="s">
        <v>37</v>
      </c>
      <c r="C5" s="2" t="s">
        <v>38</v>
      </c>
      <c r="D5" s="2" t="s">
        <v>14</v>
      </c>
      <c r="E5" s="2" t="s">
        <v>39</v>
      </c>
      <c r="F5" s="2" t="s">
        <v>40</v>
      </c>
      <c r="G5" s="2" t="s">
        <v>177</v>
      </c>
      <c r="H5" s="2" t="s">
        <v>26</v>
      </c>
      <c r="I5" s="6" t="s">
        <v>41</v>
      </c>
      <c r="J5" s="2" t="s">
        <v>28</v>
      </c>
      <c r="K5" s="6" t="s">
        <v>42</v>
      </c>
      <c r="L5" s="2">
        <f t="shared" si="0"/>
        <v>1</v>
      </c>
      <c r="M5" s="2" t="str">
        <f t="shared" si="1"/>
        <v>Boundary input / omit</v>
      </c>
    </row>
    <row r="6" spans="1:13" ht="28">
      <c r="A6" s="2" t="s">
        <v>11</v>
      </c>
      <c r="B6" s="2" t="s">
        <v>43</v>
      </c>
      <c r="C6" s="2" t="s">
        <v>44</v>
      </c>
      <c r="D6" s="2" t="s">
        <v>45</v>
      </c>
      <c r="E6" s="2" t="s">
        <v>46</v>
      </c>
      <c r="F6" s="2" t="s">
        <v>47</v>
      </c>
      <c r="G6" s="2" t="s">
        <v>26</v>
      </c>
      <c r="H6" s="2" t="s">
        <v>26</v>
      </c>
      <c r="I6" s="6" t="s">
        <v>48</v>
      </c>
      <c r="J6" s="2" t="s">
        <v>49</v>
      </c>
      <c r="K6" s="6" t="s">
        <v>50</v>
      </c>
      <c r="L6" s="2">
        <f t="shared" si="0"/>
        <v>3</v>
      </c>
      <c r="M6" s="2" t="str">
        <f t="shared" si="1"/>
        <v>Consider / Consolidate</v>
      </c>
    </row>
    <row r="7" spans="1:13" hidden="1">
      <c r="A7" s="2" t="s">
        <v>11</v>
      </c>
      <c r="B7" s="2" t="s">
        <v>51</v>
      </c>
      <c r="C7" s="2" t="s">
        <v>52</v>
      </c>
      <c r="D7" s="2" t="s">
        <v>32</v>
      </c>
      <c r="E7" s="2" t="s">
        <v>53</v>
      </c>
      <c r="F7" s="2" t="s">
        <v>54</v>
      </c>
      <c r="G7" s="2" t="s">
        <v>177</v>
      </c>
      <c r="H7" s="2" t="s">
        <v>26</v>
      </c>
      <c r="I7" s="6" t="s">
        <v>55</v>
      </c>
      <c r="J7" s="2" t="s">
        <v>28</v>
      </c>
      <c r="K7" s="6" t="s">
        <v>56</v>
      </c>
      <c r="L7" s="2">
        <f t="shared" si="0"/>
        <v>1</v>
      </c>
      <c r="M7" s="2" t="str">
        <f t="shared" si="1"/>
        <v>Boundary input / omit</v>
      </c>
    </row>
    <row r="8" spans="1:13" hidden="1">
      <c r="A8" s="2" t="s">
        <v>11</v>
      </c>
      <c r="B8" s="2" t="s">
        <v>57</v>
      </c>
      <c r="C8" s="2" t="s">
        <v>58</v>
      </c>
      <c r="D8" s="2" t="s">
        <v>14</v>
      </c>
      <c r="E8" s="2" t="s">
        <v>59</v>
      </c>
      <c r="F8" s="2" t="s">
        <v>60</v>
      </c>
      <c r="G8" s="2" t="s">
        <v>177</v>
      </c>
      <c r="H8" s="2" t="s">
        <v>26</v>
      </c>
      <c r="I8" s="6" t="s">
        <v>61</v>
      </c>
      <c r="J8" s="2" t="s">
        <v>49</v>
      </c>
      <c r="K8" s="6" t="s">
        <v>62</v>
      </c>
      <c r="L8" s="2">
        <f t="shared" si="0"/>
        <v>2</v>
      </c>
      <c r="M8" s="2" t="str">
        <f t="shared" si="1"/>
        <v>Boundary input / omit</v>
      </c>
    </row>
    <row r="9" spans="1:13" ht="28">
      <c r="A9" s="2" t="s">
        <v>11</v>
      </c>
      <c r="B9" s="2" t="s">
        <v>63</v>
      </c>
      <c r="C9" s="2" t="s">
        <v>64</v>
      </c>
      <c r="D9" s="2" t="s">
        <v>14</v>
      </c>
      <c r="E9" s="2" t="s">
        <v>65</v>
      </c>
      <c r="F9" s="2" t="s">
        <v>66</v>
      </c>
      <c r="G9" s="2" t="s">
        <v>17</v>
      </c>
      <c r="H9" s="2" t="s">
        <v>26</v>
      </c>
      <c r="I9" s="6" t="s">
        <v>67</v>
      </c>
      <c r="J9" s="2" t="s">
        <v>19</v>
      </c>
      <c r="K9" s="6" t="s">
        <v>68</v>
      </c>
      <c r="L9" s="2">
        <f t="shared" si="0"/>
        <v>5</v>
      </c>
      <c r="M9" s="2" t="str">
        <f t="shared" si="1"/>
        <v>Standalone</v>
      </c>
    </row>
    <row r="10" spans="1:13">
      <c r="A10" s="2" t="s">
        <v>69</v>
      </c>
      <c r="B10" s="2" t="s">
        <v>70</v>
      </c>
      <c r="C10" s="2" t="s">
        <v>71</v>
      </c>
      <c r="D10" s="2" t="s">
        <v>72</v>
      </c>
      <c r="E10" s="2" t="s">
        <v>73</v>
      </c>
      <c r="F10" s="2" t="s">
        <v>74</v>
      </c>
      <c r="G10" s="2" t="s">
        <v>17</v>
      </c>
      <c r="H10" s="2" t="s">
        <v>17</v>
      </c>
      <c r="I10" s="6" t="s">
        <v>75</v>
      </c>
      <c r="J10" s="2" t="s">
        <v>19</v>
      </c>
      <c r="K10" s="6" t="s">
        <v>76</v>
      </c>
      <c r="L10" s="2">
        <f t="shared" si="0"/>
        <v>5</v>
      </c>
      <c r="M10" s="2" t="str">
        <f t="shared" si="1"/>
        <v>Standalone</v>
      </c>
    </row>
    <row r="11" spans="1:13" ht="28">
      <c r="A11" s="2" t="s">
        <v>69</v>
      </c>
      <c r="B11" s="2" t="s">
        <v>77</v>
      </c>
      <c r="C11" s="2" t="s">
        <v>78</v>
      </c>
      <c r="D11" s="2" t="s">
        <v>72</v>
      </c>
      <c r="E11" s="2" t="s">
        <v>79</v>
      </c>
      <c r="F11" s="2" t="s">
        <v>80</v>
      </c>
      <c r="G11" s="2" t="s">
        <v>17</v>
      </c>
      <c r="H11" s="2" t="s">
        <v>17</v>
      </c>
      <c r="I11" s="6" t="s">
        <v>81</v>
      </c>
      <c r="J11" s="2" t="s">
        <v>19</v>
      </c>
      <c r="K11" s="6" t="s">
        <v>82</v>
      </c>
      <c r="L11" s="2">
        <f t="shared" si="0"/>
        <v>5</v>
      </c>
      <c r="M11" s="2" t="str">
        <f t="shared" si="1"/>
        <v>Standalone</v>
      </c>
    </row>
    <row r="12" spans="1:13" ht="28">
      <c r="A12" s="2" t="s">
        <v>69</v>
      </c>
      <c r="B12" s="2" t="s">
        <v>83</v>
      </c>
      <c r="C12" s="2" t="s">
        <v>78</v>
      </c>
      <c r="D12" s="2" t="s">
        <v>14</v>
      </c>
      <c r="E12" s="2" t="s">
        <v>84</v>
      </c>
      <c r="F12" s="2" t="s">
        <v>85</v>
      </c>
      <c r="G12" s="2" t="s">
        <v>17</v>
      </c>
      <c r="H12" s="2" t="s">
        <v>17</v>
      </c>
      <c r="I12" s="6" t="s">
        <v>86</v>
      </c>
      <c r="J12" s="2" t="s">
        <v>19</v>
      </c>
      <c r="K12" s="6" t="s">
        <v>87</v>
      </c>
      <c r="L12" s="2">
        <f t="shared" si="0"/>
        <v>5</v>
      </c>
      <c r="M12" s="2" t="str">
        <f t="shared" si="1"/>
        <v>Standalone</v>
      </c>
    </row>
    <row r="13" spans="1:13" ht="28" hidden="1">
      <c r="A13" s="2" t="s">
        <v>69</v>
      </c>
      <c r="B13" s="2" t="s">
        <v>88</v>
      </c>
      <c r="C13" s="2" t="s">
        <v>89</v>
      </c>
      <c r="D13" s="2" t="s">
        <v>32</v>
      </c>
      <c r="E13" s="2" t="s">
        <v>90</v>
      </c>
      <c r="F13" s="2" t="s">
        <v>91</v>
      </c>
      <c r="G13" s="2" t="s">
        <v>26</v>
      </c>
      <c r="H13" s="2" t="s">
        <v>26</v>
      </c>
      <c r="I13" s="6" t="s">
        <v>92</v>
      </c>
      <c r="J13" s="2" t="s">
        <v>28</v>
      </c>
      <c r="K13" s="6" t="s">
        <v>93</v>
      </c>
      <c r="L13" s="2">
        <f t="shared" si="0"/>
        <v>2</v>
      </c>
      <c r="M13" s="2" t="str">
        <f t="shared" si="1"/>
        <v>Boundary input / omit</v>
      </c>
    </row>
    <row r="14" spans="1:13" ht="28">
      <c r="A14" s="2" t="s">
        <v>69</v>
      </c>
      <c r="B14" s="2" t="s">
        <v>94</v>
      </c>
      <c r="C14" s="2" t="s">
        <v>95</v>
      </c>
      <c r="D14" s="2" t="s">
        <v>96</v>
      </c>
      <c r="E14" s="2" t="s">
        <v>97</v>
      </c>
      <c r="F14" s="2" t="s">
        <v>98</v>
      </c>
      <c r="G14" s="2" t="s">
        <v>26</v>
      </c>
      <c r="H14" s="2" t="s">
        <v>26</v>
      </c>
      <c r="I14" s="6" t="s">
        <v>99</v>
      </c>
      <c r="J14" s="2" t="s">
        <v>19</v>
      </c>
      <c r="K14" s="6" t="s">
        <v>100</v>
      </c>
      <c r="L14" s="2">
        <f t="shared" si="0"/>
        <v>4</v>
      </c>
      <c r="M14" s="2" t="str">
        <f t="shared" si="1"/>
        <v>Consider / Consolidate</v>
      </c>
    </row>
    <row r="15" spans="1:13" ht="28">
      <c r="A15" s="2" t="s">
        <v>69</v>
      </c>
      <c r="B15" s="2" t="s">
        <v>101</v>
      </c>
      <c r="C15" s="2" t="s">
        <v>102</v>
      </c>
      <c r="D15" s="2" t="s">
        <v>14</v>
      </c>
      <c r="E15" s="2" t="s">
        <v>103</v>
      </c>
      <c r="F15" s="2" t="s">
        <v>104</v>
      </c>
      <c r="G15" s="2" t="s">
        <v>17</v>
      </c>
      <c r="H15" s="2" t="s">
        <v>17</v>
      </c>
      <c r="I15" s="6" t="s">
        <v>105</v>
      </c>
      <c r="J15" s="2" t="s">
        <v>19</v>
      </c>
      <c r="K15" s="6" t="s">
        <v>106</v>
      </c>
      <c r="L15" s="2">
        <f t="shared" si="0"/>
        <v>5</v>
      </c>
      <c r="M15" s="2" t="str">
        <f t="shared" si="1"/>
        <v>Standalone</v>
      </c>
    </row>
    <row r="16" spans="1:13" hidden="1">
      <c r="A16" s="2" t="s">
        <v>69</v>
      </c>
      <c r="B16" s="2" t="s">
        <v>107</v>
      </c>
      <c r="C16" s="2" t="s">
        <v>108</v>
      </c>
      <c r="D16" s="2" t="s">
        <v>32</v>
      </c>
      <c r="E16" s="2" t="s">
        <v>109</v>
      </c>
      <c r="F16" s="2" t="s">
        <v>110</v>
      </c>
      <c r="G16" s="2" t="s">
        <v>26</v>
      </c>
      <c r="H16" s="2" t="s">
        <v>26</v>
      </c>
      <c r="I16" s="6" t="s">
        <v>111</v>
      </c>
      <c r="J16" s="2" t="s">
        <v>28</v>
      </c>
      <c r="K16" s="6" t="s">
        <v>112</v>
      </c>
      <c r="L16" s="2">
        <f t="shared" si="0"/>
        <v>2</v>
      </c>
      <c r="M16" s="2" t="str">
        <f t="shared" si="1"/>
        <v>Boundary input / omit</v>
      </c>
    </row>
    <row r="17" spans="1:13" hidden="1">
      <c r="A17" s="2" t="s">
        <v>69</v>
      </c>
      <c r="B17" s="2" t="s">
        <v>113</v>
      </c>
      <c r="C17" s="2" t="s">
        <v>114</v>
      </c>
      <c r="D17" s="2" t="s">
        <v>115</v>
      </c>
      <c r="E17" s="2" t="s">
        <v>116</v>
      </c>
      <c r="F17" s="2" t="s">
        <v>117</v>
      </c>
      <c r="G17" s="2" t="s">
        <v>26</v>
      </c>
      <c r="H17" s="2" t="s">
        <v>26</v>
      </c>
      <c r="I17" s="6" t="s">
        <v>118</v>
      </c>
      <c r="J17" s="2" t="s">
        <v>28</v>
      </c>
      <c r="K17" s="6" t="s">
        <v>119</v>
      </c>
      <c r="L17" s="2">
        <f t="shared" si="0"/>
        <v>2</v>
      </c>
      <c r="M17" s="2" t="str">
        <f t="shared" si="1"/>
        <v>Boundary input / omit</v>
      </c>
    </row>
    <row r="18" spans="1:13" hidden="1">
      <c r="A18" s="2" t="s">
        <v>69</v>
      </c>
      <c r="B18" s="2" t="s">
        <v>120</v>
      </c>
      <c r="C18" s="2" t="s">
        <v>121</v>
      </c>
      <c r="D18" s="2" t="s">
        <v>122</v>
      </c>
      <c r="E18" s="2" t="s">
        <v>123</v>
      </c>
      <c r="F18" s="2" t="s">
        <v>124</v>
      </c>
      <c r="G18" s="2" t="s">
        <v>26</v>
      </c>
      <c r="H18" s="2" t="s">
        <v>26</v>
      </c>
      <c r="I18" s="6" t="s">
        <v>125</v>
      </c>
      <c r="J18" s="2" t="s">
        <v>28</v>
      </c>
      <c r="K18" s="6" t="s">
        <v>126</v>
      </c>
      <c r="L18" s="2">
        <f t="shared" si="0"/>
        <v>2</v>
      </c>
      <c r="M18" s="2" t="str">
        <f t="shared" si="1"/>
        <v>Boundary input / omit</v>
      </c>
    </row>
    <row r="19" spans="1:13">
      <c r="A19" s="2" t="s">
        <v>69</v>
      </c>
      <c r="B19" s="2" t="s">
        <v>127</v>
      </c>
      <c r="C19" s="2" t="s">
        <v>128</v>
      </c>
      <c r="D19" s="2" t="s">
        <v>115</v>
      </c>
      <c r="E19" s="2" t="s">
        <v>129</v>
      </c>
      <c r="F19" s="2" t="s">
        <v>130</v>
      </c>
      <c r="G19" s="2" t="s">
        <v>26</v>
      </c>
      <c r="H19" s="2" t="s">
        <v>26</v>
      </c>
      <c r="I19" s="6" t="s">
        <v>131</v>
      </c>
      <c r="J19" s="2" t="s">
        <v>49</v>
      </c>
      <c r="K19" s="6" t="s">
        <v>132</v>
      </c>
      <c r="L19" s="2">
        <f t="shared" si="0"/>
        <v>3</v>
      </c>
      <c r="M19" s="2" t="str">
        <f t="shared" si="1"/>
        <v>Consider / Consolidate</v>
      </c>
    </row>
    <row r="20" spans="1:13" hidden="1">
      <c r="A20" s="2" t="s">
        <v>69</v>
      </c>
      <c r="B20" s="2" t="s">
        <v>133</v>
      </c>
      <c r="C20" s="2" t="s">
        <v>134</v>
      </c>
      <c r="D20" s="2" t="s">
        <v>96</v>
      </c>
      <c r="E20" s="2" t="s">
        <v>135</v>
      </c>
      <c r="F20" s="2" t="s">
        <v>136</v>
      </c>
      <c r="G20" s="2" t="s">
        <v>177</v>
      </c>
      <c r="H20" s="2" t="s">
        <v>17</v>
      </c>
      <c r="I20" s="6" t="s">
        <v>137</v>
      </c>
      <c r="J20" s="2" t="s">
        <v>28</v>
      </c>
      <c r="K20" s="6" t="s">
        <v>138</v>
      </c>
      <c r="L20" s="2">
        <f t="shared" si="0"/>
        <v>1</v>
      </c>
      <c r="M20" s="2" t="str">
        <f t="shared" si="1"/>
        <v>Boundary input / omit</v>
      </c>
    </row>
    <row r="21" spans="1:13">
      <c r="A21" s="2" t="s">
        <v>69</v>
      </c>
      <c r="B21" s="2" t="s">
        <v>139</v>
      </c>
      <c r="C21" s="2" t="s">
        <v>140</v>
      </c>
      <c r="D21" s="2" t="s">
        <v>122</v>
      </c>
      <c r="E21" s="2" t="s">
        <v>141</v>
      </c>
      <c r="F21" s="2" t="s">
        <v>142</v>
      </c>
      <c r="G21" s="2" t="s">
        <v>177</v>
      </c>
      <c r="H21" s="2" t="s">
        <v>17</v>
      </c>
      <c r="I21" s="6" t="s">
        <v>143</v>
      </c>
      <c r="J21" s="2" t="s">
        <v>19</v>
      </c>
      <c r="K21" s="6" t="s">
        <v>144</v>
      </c>
      <c r="L21" s="2">
        <f t="shared" si="0"/>
        <v>3</v>
      </c>
      <c r="M21" s="2" t="str">
        <f t="shared" si="1"/>
        <v>Consider / Consolidate</v>
      </c>
    </row>
    <row r="22" spans="1:13" hidden="1">
      <c r="A22" s="2" t="s">
        <v>145</v>
      </c>
      <c r="B22" s="2" t="s">
        <v>139</v>
      </c>
      <c r="C22" s="2" t="s">
        <v>146</v>
      </c>
      <c r="D22" s="2" t="s">
        <v>115</v>
      </c>
      <c r="E22" s="2" t="s">
        <v>147</v>
      </c>
      <c r="F22" s="2" t="s">
        <v>148</v>
      </c>
      <c r="G22" s="2" t="s">
        <v>26</v>
      </c>
      <c r="H22" s="2" t="s">
        <v>17</v>
      </c>
      <c r="I22" s="6" t="s">
        <v>149</v>
      </c>
      <c r="J22" s="2" t="s">
        <v>28</v>
      </c>
      <c r="K22" s="6" t="s">
        <v>150</v>
      </c>
      <c r="L22" s="2">
        <f t="shared" si="0"/>
        <v>2</v>
      </c>
      <c r="M22" s="2" t="str">
        <f t="shared" si="1"/>
        <v>Boundary input / omit</v>
      </c>
    </row>
    <row r="23" spans="1:13" ht="28">
      <c r="A23" s="2" t="s">
        <v>145</v>
      </c>
      <c r="B23" s="2" t="s">
        <v>151</v>
      </c>
      <c r="C23" s="2" t="s">
        <v>152</v>
      </c>
      <c r="D23" s="2" t="s">
        <v>153</v>
      </c>
      <c r="E23" s="2" t="s">
        <v>154</v>
      </c>
      <c r="F23" s="2" t="s">
        <v>155</v>
      </c>
      <c r="G23" s="2" t="s">
        <v>26</v>
      </c>
      <c r="H23" s="2" t="s">
        <v>17</v>
      </c>
      <c r="I23" s="6" t="s">
        <v>156</v>
      </c>
      <c r="J23" s="2" t="s">
        <v>19</v>
      </c>
      <c r="K23" s="6" t="s">
        <v>157</v>
      </c>
      <c r="L23" s="2">
        <f t="shared" si="0"/>
        <v>4</v>
      </c>
      <c r="M23" s="2" t="str">
        <f t="shared" si="1"/>
        <v>Consider / Consolidate</v>
      </c>
    </row>
    <row r="24" spans="1:13" hidden="1">
      <c r="A24" s="2" t="s">
        <v>145</v>
      </c>
      <c r="B24" s="2" t="s">
        <v>158</v>
      </c>
      <c r="C24" s="2" t="s">
        <v>159</v>
      </c>
      <c r="D24" s="2" t="s">
        <v>160</v>
      </c>
      <c r="E24" s="2" t="s">
        <v>161</v>
      </c>
      <c r="F24" s="2" t="s">
        <v>162</v>
      </c>
      <c r="G24" s="2" t="s">
        <v>26</v>
      </c>
      <c r="H24" s="2" t="s">
        <v>17</v>
      </c>
      <c r="I24" s="6" t="s">
        <v>163</v>
      </c>
      <c r="J24" s="2" t="s">
        <v>28</v>
      </c>
      <c r="K24" s="6" t="s">
        <v>164</v>
      </c>
      <c r="L24" s="2">
        <f t="shared" si="0"/>
        <v>2</v>
      </c>
      <c r="M24" s="2" t="str">
        <f t="shared" si="1"/>
        <v>Boundary input / omit</v>
      </c>
    </row>
    <row r="25" spans="1:13">
      <c r="A25" s="2" t="s">
        <v>145</v>
      </c>
      <c r="B25" s="2" t="s">
        <v>165</v>
      </c>
      <c r="C25" s="2" t="s">
        <v>166</v>
      </c>
      <c r="D25" s="2" t="s">
        <v>115</v>
      </c>
      <c r="E25" s="2" t="s">
        <v>167</v>
      </c>
      <c r="F25" s="2" t="s">
        <v>168</v>
      </c>
      <c r="G25" s="2" t="s">
        <v>26</v>
      </c>
      <c r="H25" s="2" t="s">
        <v>17</v>
      </c>
      <c r="I25" s="6" t="s">
        <v>169</v>
      </c>
      <c r="J25" s="2" t="s">
        <v>19</v>
      </c>
      <c r="K25" s="6" t="s">
        <v>170</v>
      </c>
      <c r="L25" s="2">
        <f t="shared" si="0"/>
        <v>4</v>
      </c>
      <c r="M25" s="2" t="str">
        <f t="shared" si="1"/>
        <v>Consider / Consolidate</v>
      </c>
    </row>
    <row r="26" spans="1:13" hidden="1">
      <c r="A26" s="2" t="s">
        <v>145</v>
      </c>
      <c r="B26" s="2" t="s">
        <v>171</v>
      </c>
      <c r="C26" s="2" t="s">
        <v>172</v>
      </c>
      <c r="D26" s="2" t="s">
        <v>23</v>
      </c>
      <c r="E26" s="2" t="s">
        <v>173</v>
      </c>
      <c r="F26" s="2" t="s">
        <v>174</v>
      </c>
      <c r="G26" s="2" t="s">
        <v>26</v>
      </c>
      <c r="H26" s="2" t="s">
        <v>26</v>
      </c>
      <c r="I26" s="6" t="s">
        <v>175</v>
      </c>
      <c r="J26" s="2" t="s">
        <v>28</v>
      </c>
      <c r="K26" s="6" t="s">
        <v>176</v>
      </c>
      <c r="L26" s="2">
        <f t="shared" si="0"/>
        <v>2</v>
      </c>
      <c r="M26" s="2" t="str">
        <f t="shared" si="1"/>
        <v>Boundary input / omit</v>
      </c>
    </row>
    <row r="27" spans="1:13" hidden="1">
      <c r="A27" s="2" t="s">
        <v>145</v>
      </c>
      <c r="B27" s="2" t="s">
        <v>178</v>
      </c>
      <c r="C27" s="2" t="s">
        <v>179</v>
      </c>
      <c r="D27" s="2" t="s">
        <v>32</v>
      </c>
      <c r="E27" s="2" t="s">
        <v>180</v>
      </c>
      <c r="F27" s="2" t="s">
        <v>181</v>
      </c>
      <c r="G27" s="2" t="s">
        <v>26</v>
      </c>
      <c r="H27" s="2" t="s">
        <v>26</v>
      </c>
      <c r="I27" s="6" t="s">
        <v>182</v>
      </c>
      <c r="J27" s="2" t="s">
        <v>28</v>
      </c>
      <c r="K27" s="6" t="s">
        <v>183</v>
      </c>
      <c r="L27" s="2">
        <f t="shared" si="0"/>
        <v>2</v>
      </c>
      <c r="M27" s="2" t="str">
        <f t="shared" si="1"/>
        <v>Boundary input / omit</v>
      </c>
    </row>
    <row r="28" spans="1:13" ht="28">
      <c r="A28" s="2" t="s">
        <v>145</v>
      </c>
      <c r="B28" s="2" t="s">
        <v>184</v>
      </c>
      <c r="C28" s="2" t="s">
        <v>185</v>
      </c>
      <c r="D28" s="2" t="s">
        <v>122</v>
      </c>
      <c r="E28" s="2" t="s">
        <v>186</v>
      </c>
      <c r="F28" s="2" t="s">
        <v>187</v>
      </c>
      <c r="G28" s="2" t="s">
        <v>26</v>
      </c>
      <c r="H28" s="2" t="s">
        <v>17</v>
      </c>
      <c r="I28" s="6" t="s">
        <v>188</v>
      </c>
      <c r="J28" s="2" t="s">
        <v>49</v>
      </c>
      <c r="K28" s="6" t="s">
        <v>189</v>
      </c>
      <c r="L28" s="2">
        <f t="shared" si="0"/>
        <v>3</v>
      </c>
      <c r="M28" s="2" t="str">
        <f t="shared" si="1"/>
        <v>Consider / Consolidate</v>
      </c>
    </row>
    <row r="29" spans="1:13" hidden="1">
      <c r="A29" s="2" t="s">
        <v>145</v>
      </c>
      <c r="B29" s="2" t="s">
        <v>190</v>
      </c>
      <c r="C29" s="2" t="s">
        <v>191</v>
      </c>
      <c r="D29" s="2" t="s">
        <v>23</v>
      </c>
      <c r="E29" s="2" t="s">
        <v>192</v>
      </c>
      <c r="F29" s="2" t="s">
        <v>193</v>
      </c>
      <c r="G29" s="2" t="s">
        <v>177</v>
      </c>
      <c r="H29" s="2" t="s">
        <v>177</v>
      </c>
      <c r="I29" s="6" t="s">
        <v>194</v>
      </c>
      <c r="J29" s="2" t="s">
        <v>28</v>
      </c>
      <c r="K29" s="6" t="s">
        <v>195</v>
      </c>
      <c r="L29" s="2">
        <f t="shared" si="0"/>
        <v>1</v>
      </c>
      <c r="M29" s="2" t="str">
        <f t="shared" si="1"/>
        <v>Boundary input / omit</v>
      </c>
    </row>
    <row r="30" spans="1:13" hidden="1">
      <c r="A30" s="2" t="s">
        <v>196</v>
      </c>
      <c r="B30" s="2" t="s">
        <v>197</v>
      </c>
      <c r="C30" s="2" t="s">
        <v>198</v>
      </c>
      <c r="D30" s="2" t="s">
        <v>199</v>
      </c>
      <c r="E30" s="2" t="s">
        <v>200</v>
      </c>
      <c r="F30" s="2" t="s">
        <v>201</v>
      </c>
      <c r="G30" s="2" t="s">
        <v>177</v>
      </c>
      <c r="H30" s="2" t="s">
        <v>26</v>
      </c>
      <c r="I30" s="6" t="s">
        <v>202</v>
      </c>
      <c r="J30" s="2" t="s">
        <v>28</v>
      </c>
      <c r="K30" s="6" t="s">
        <v>203</v>
      </c>
      <c r="L30" s="2">
        <f t="shared" si="0"/>
        <v>1</v>
      </c>
      <c r="M30" s="2" t="str">
        <f t="shared" si="1"/>
        <v>Boundary input / omit</v>
      </c>
    </row>
    <row r="31" spans="1:13" hidden="1">
      <c r="A31" s="2" t="s">
        <v>196</v>
      </c>
      <c r="B31" s="2" t="s">
        <v>204</v>
      </c>
      <c r="C31" s="2" t="s">
        <v>205</v>
      </c>
      <c r="D31" s="2" t="s">
        <v>206</v>
      </c>
      <c r="E31" s="2" t="s">
        <v>207</v>
      </c>
      <c r="F31" s="2" t="s">
        <v>208</v>
      </c>
      <c r="G31" s="2" t="s">
        <v>177</v>
      </c>
      <c r="H31" s="2" t="s">
        <v>26</v>
      </c>
      <c r="I31" s="6" t="s">
        <v>209</v>
      </c>
      <c r="J31" s="2" t="s">
        <v>28</v>
      </c>
      <c r="K31" s="6" t="s">
        <v>210</v>
      </c>
      <c r="L31" s="2">
        <f t="shared" si="0"/>
        <v>1</v>
      </c>
      <c r="M31" s="2" t="str">
        <f t="shared" si="1"/>
        <v>Boundary input / omit</v>
      </c>
    </row>
    <row r="32" spans="1:13" ht="28">
      <c r="A32" s="2" t="s">
        <v>196</v>
      </c>
      <c r="B32" s="2" t="s">
        <v>211</v>
      </c>
      <c r="C32" s="2" t="s">
        <v>212</v>
      </c>
      <c r="D32" s="2" t="s">
        <v>213</v>
      </c>
      <c r="E32" s="2" t="s">
        <v>214</v>
      </c>
      <c r="F32" s="2" t="s">
        <v>215</v>
      </c>
      <c r="G32" s="2" t="s">
        <v>26</v>
      </c>
      <c r="H32" s="2" t="s">
        <v>26</v>
      </c>
      <c r="I32" s="6" t="s">
        <v>216</v>
      </c>
      <c r="J32" s="2" t="s">
        <v>49</v>
      </c>
      <c r="K32" s="6" t="s">
        <v>217</v>
      </c>
      <c r="L32" s="2">
        <f t="shared" si="0"/>
        <v>3</v>
      </c>
      <c r="M32" s="2" t="str">
        <f t="shared" si="1"/>
        <v>Consider / Consolidate</v>
      </c>
    </row>
    <row r="33" spans="1:13" ht="42">
      <c r="A33" s="2" t="s">
        <v>196</v>
      </c>
      <c r="B33" s="2" t="s">
        <v>218</v>
      </c>
      <c r="C33" s="2" t="s">
        <v>219</v>
      </c>
      <c r="D33" s="2" t="s">
        <v>153</v>
      </c>
      <c r="E33" s="2" t="s">
        <v>334</v>
      </c>
      <c r="F33" s="2" t="s">
        <v>220</v>
      </c>
      <c r="G33" s="2" t="s">
        <v>17</v>
      </c>
      <c r="H33" s="2" t="s">
        <v>17</v>
      </c>
      <c r="I33" s="6" t="s">
        <v>221</v>
      </c>
      <c r="J33" s="2" t="s">
        <v>19</v>
      </c>
      <c r="K33" s="6" t="s">
        <v>222</v>
      </c>
      <c r="L33" s="2">
        <f t="shared" ref="L33:L49" si="2">IF(J33="High",3,IF(J33="Medium",2,1))+IF(G33="Yes",2,IF(G33="Indirect",1,0))</f>
        <v>5</v>
      </c>
      <c r="M33" s="2" t="str">
        <f t="shared" ref="M33:M64" si="3">IF(L33&gt;=5,"Standalone",IF(L33&gt;=3,"Consider / Consolidate","Boundary input / omit"))</f>
        <v>Standalone</v>
      </c>
    </row>
    <row r="34" spans="1:13" ht="28">
      <c r="A34" s="2" t="s">
        <v>196</v>
      </c>
      <c r="B34" s="2" t="s">
        <v>223</v>
      </c>
      <c r="C34" s="2" t="s">
        <v>224</v>
      </c>
      <c r="D34" s="2" t="s">
        <v>225</v>
      </c>
      <c r="E34" s="2" t="s">
        <v>226</v>
      </c>
      <c r="F34" s="2" t="s">
        <v>227</v>
      </c>
      <c r="G34" s="2" t="s">
        <v>17</v>
      </c>
      <c r="H34" s="2" t="s">
        <v>17</v>
      </c>
      <c r="I34" s="6" t="s">
        <v>228</v>
      </c>
      <c r="J34" s="2" t="s">
        <v>19</v>
      </c>
      <c r="K34" s="6" t="s">
        <v>229</v>
      </c>
      <c r="L34" s="2">
        <f t="shared" si="2"/>
        <v>5</v>
      </c>
      <c r="M34" s="2" t="str">
        <f t="shared" si="3"/>
        <v>Standalone</v>
      </c>
    </row>
    <row r="35" spans="1:13" ht="28" hidden="1">
      <c r="A35" s="2" t="s">
        <v>196</v>
      </c>
      <c r="B35" s="2" t="s">
        <v>230</v>
      </c>
      <c r="C35" s="2" t="s">
        <v>231</v>
      </c>
      <c r="D35" s="2" t="s">
        <v>206</v>
      </c>
      <c r="E35" s="2" t="s">
        <v>232</v>
      </c>
      <c r="F35" s="2" t="s">
        <v>233</v>
      </c>
      <c r="G35" s="2" t="s">
        <v>26</v>
      </c>
      <c r="H35" s="2" t="s">
        <v>26</v>
      </c>
      <c r="I35" s="6" t="s">
        <v>234</v>
      </c>
      <c r="J35" s="2" t="s">
        <v>28</v>
      </c>
      <c r="K35" s="6" t="s">
        <v>235</v>
      </c>
      <c r="L35" s="2">
        <f t="shared" si="2"/>
        <v>2</v>
      </c>
      <c r="M35" s="2" t="str">
        <f t="shared" si="3"/>
        <v>Boundary input / omit</v>
      </c>
    </row>
    <row r="36" spans="1:13" hidden="1">
      <c r="A36" s="2" t="s">
        <v>196</v>
      </c>
      <c r="B36" s="2" t="s">
        <v>236</v>
      </c>
      <c r="C36" s="2" t="s">
        <v>237</v>
      </c>
      <c r="D36" s="2" t="s">
        <v>23</v>
      </c>
      <c r="E36" s="2" t="s">
        <v>238</v>
      </c>
      <c r="F36" s="2" t="s">
        <v>239</v>
      </c>
      <c r="G36" s="2" t="s">
        <v>177</v>
      </c>
      <c r="H36" s="2" t="s">
        <v>177</v>
      </c>
      <c r="I36" s="6" t="s">
        <v>240</v>
      </c>
      <c r="J36" s="2" t="s">
        <v>28</v>
      </c>
      <c r="K36" s="6" t="s">
        <v>241</v>
      </c>
      <c r="L36" s="2">
        <f t="shared" si="2"/>
        <v>1</v>
      </c>
      <c r="M36" s="2" t="str">
        <f t="shared" si="3"/>
        <v>Boundary input / omit</v>
      </c>
    </row>
    <row r="37" spans="1:13" hidden="1">
      <c r="A37" s="2" t="s">
        <v>196</v>
      </c>
      <c r="B37" s="2" t="s">
        <v>242</v>
      </c>
      <c r="C37" s="2" t="s">
        <v>243</v>
      </c>
      <c r="D37" s="2" t="s">
        <v>160</v>
      </c>
      <c r="E37" s="2" t="s">
        <v>244</v>
      </c>
      <c r="F37" s="2" t="s">
        <v>245</v>
      </c>
      <c r="G37" s="2" t="s">
        <v>177</v>
      </c>
      <c r="H37" s="2" t="s">
        <v>177</v>
      </c>
      <c r="I37" s="6" t="s">
        <v>246</v>
      </c>
      <c r="J37" s="2" t="s">
        <v>28</v>
      </c>
      <c r="K37" s="6" t="s">
        <v>247</v>
      </c>
      <c r="L37" s="2">
        <f t="shared" si="2"/>
        <v>1</v>
      </c>
      <c r="M37" s="2" t="str">
        <f t="shared" si="3"/>
        <v>Boundary input / omit</v>
      </c>
    </row>
    <row r="38" spans="1:13" hidden="1">
      <c r="A38" s="2" t="s">
        <v>248</v>
      </c>
      <c r="B38" s="2" t="s">
        <v>249</v>
      </c>
      <c r="C38" s="2" t="s">
        <v>250</v>
      </c>
      <c r="D38" s="2" t="s">
        <v>45</v>
      </c>
      <c r="E38" s="2" t="s">
        <v>251</v>
      </c>
      <c r="F38" s="2" t="s">
        <v>252</v>
      </c>
      <c r="G38" s="2" t="s">
        <v>177</v>
      </c>
      <c r="H38" s="2" t="s">
        <v>177</v>
      </c>
      <c r="I38" s="6" t="s">
        <v>253</v>
      </c>
      <c r="J38" s="2" t="s">
        <v>49</v>
      </c>
      <c r="K38" s="6" t="s">
        <v>254</v>
      </c>
      <c r="L38" s="2">
        <f t="shared" si="2"/>
        <v>2</v>
      </c>
      <c r="M38" s="2" t="str">
        <f t="shared" si="3"/>
        <v>Boundary input / omit</v>
      </c>
    </row>
    <row r="39" spans="1:13" hidden="1">
      <c r="A39" s="2" t="s">
        <v>248</v>
      </c>
      <c r="B39" s="2" t="s">
        <v>255</v>
      </c>
      <c r="C39" s="2" t="s">
        <v>256</v>
      </c>
      <c r="D39" s="2" t="s">
        <v>23</v>
      </c>
      <c r="E39" s="2" t="s">
        <v>257</v>
      </c>
      <c r="F39" s="2" t="s">
        <v>258</v>
      </c>
      <c r="G39" s="2" t="s">
        <v>177</v>
      </c>
      <c r="H39" s="2" t="s">
        <v>26</v>
      </c>
      <c r="I39" s="6" t="s">
        <v>259</v>
      </c>
      <c r="J39" s="2" t="s">
        <v>28</v>
      </c>
      <c r="K39" s="6" t="s">
        <v>260</v>
      </c>
      <c r="L39" s="2">
        <f t="shared" si="2"/>
        <v>1</v>
      </c>
      <c r="M39" s="2" t="str">
        <f t="shared" si="3"/>
        <v>Boundary input / omit</v>
      </c>
    </row>
    <row r="40" spans="1:13" hidden="1">
      <c r="A40" s="2" t="s">
        <v>248</v>
      </c>
      <c r="B40" s="2" t="s">
        <v>261</v>
      </c>
      <c r="C40" s="2" t="s">
        <v>262</v>
      </c>
      <c r="D40" s="2" t="s">
        <v>122</v>
      </c>
      <c r="E40" s="2" t="s">
        <v>263</v>
      </c>
      <c r="F40" s="2" t="s">
        <v>264</v>
      </c>
      <c r="G40" s="2" t="s">
        <v>177</v>
      </c>
      <c r="H40" s="2" t="s">
        <v>26</v>
      </c>
      <c r="I40" s="6" t="s">
        <v>265</v>
      </c>
      <c r="J40" s="2" t="s">
        <v>28</v>
      </c>
      <c r="K40" s="6" t="s">
        <v>266</v>
      </c>
      <c r="L40" s="2">
        <f t="shared" si="2"/>
        <v>1</v>
      </c>
      <c r="M40" s="2" t="str">
        <f t="shared" si="3"/>
        <v>Boundary input / omit</v>
      </c>
    </row>
    <row r="41" spans="1:13" hidden="1">
      <c r="A41" s="2" t="s">
        <v>248</v>
      </c>
      <c r="B41" s="2" t="s">
        <v>267</v>
      </c>
      <c r="C41" s="2" t="s">
        <v>268</v>
      </c>
      <c r="D41" s="2" t="s">
        <v>45</v>
      </c>
      <c r="E41" s="2" t="s">
        <v>269</v>
      </c>
      <c r="F41" s="2" t="s">
        <v>270</v>
      </c>
      <c r="G41" s="2" t="s">
        <v>26</v>
      </c>
      <c r="H41" s="2" t="s">
        <v>26</v>
      </c>
      <c r="I41" s="6" t="s">
        <v>271</v>
      </c>
      <c r="J41" s="2" t="s">
        <v>28</v>
      </c>
      <c r="K41" s="6" t="s">
        <v>272</v>
      </c>
      <c r="L41" s="2">
        <f t="shared" si="2"/>
        <v>2</v>
      </c>
      <c r="M41" s="2" t="str">
        <f t="shared" si="3"/>
        <v>Boundary input / omit</v>
      </c>
    </row>
    <row r="42" spans="1:13" hidden="1">
      <c r="A42" s="2" t="s">
        <v>248</v>
      </c>
      <c r="B42" s="2" t="s">
        <v>273</v>
      </c>
      <c r="C42" s="2" t="s">
        <v>274</v>
      </c>
      <c r="D42" s="2" t="s">
        <v>45</v>
      </c>
      <c r="E42" s="2" t="s">
        <v>275</v>
      </c>
      <c r="F42" s="2" t="s">
        <v>276</v>
      </c>
      <c r="G42" s="2" t="s">
        <v>177</v>
      </c>
      <c r="H42" s="2" t="s">
        <v>177</v>
      </c>
      <c r="I42" s="6" t="s">
        <v>277</v>
      </c>
      <c r="J42" s="2" t="s">
        <v>28</v>
      </c>
      <c r="K42" s="6" t="s">
        <v>278</v>
      </c>
      <c r="L42" s="2">
        <f t="shared" si="2"/>
        <v>1</v>
      </c>
      <c r="M42" s="2" t="str">
        <f t="shared" si="3"/>
        <v>Boundary input / omit</v>
      </c>
    </row>
    <row r="43" spans="1:13" hidden="1">
      <c r="A43" s="2" t="s">
        <v>248</v>
      </c>
      <c r="B43" s="2" t="s">
        <v>279</v>
      </c>
      <c r="C43" s="2" t="s">
        <v>280</v>
      </c>
      <c r="D43" s="2" t="s">
        <v>45</v>
      </c>
      <c r="E43" s="2" t="s">
        <v>281</v>
      </c>
      <c r="F43" s="2" t="s">
        <v>282</v>
      </c>
      <c r="G43" s="2" t="s">
        <v>26</v>
      </c>
      <c r="H43" s="2" t="s">
        <v>177</v>
      </c>
      <c r="I43" s="6" t="s">
        <v>283</v>
      </c>
      <c r="J43" s="2" t="s">
        <v>28</v>
      </c>
      <c r="K43" s="6" t="s">
        <v>284</v>
      </c>
      <c r="L43" s="2">
        <f t="shared" si="2"/>
        <v>2</v>
      </c>
      <c r="M43" s="2" t="str">
        <f t="shared" si="3"/>
        <v>Boundary input / omit</v>
      </c>
    </row>
    <row r="44" spans="1:13">
      <c r="A44" s="2" t="s">
        <v>285</v>
      </c>
      <c r="B44" s="2" t="s">
        <v>286</v>
      </c>
      <c r="C44" s="2" t="s">
        <v>287</v>
      </c>
      <c r="D44" s="2" t="s">
        <v>32</v>
      </c>
      <c r="E44" s="2" t="s">
        <v>288</v>
      </c>
      <c r="F44" s="2" t="s">
        <v>289</v>
      </c>
      <c r="G44" s="2" t="s">
        <v>26</v>
      </c>
      <c r="H44" s="2" t="s">
        <v>17</v>
      </c>
      <c r="I44" s="6" t="s">
        <v>290</v>
      </c>
      <c r="J44" s="2" t="s">
        <v>49</v>
      </c>
      <c r="K44" s="6" t="s">
        <v>291</v>
      </c>
      <c r="L44" s="2">
        <f t="shared" si="2"/>
        <v>3</v>
      </c>
      <c r="M44" s="2" t="str">
        <f t="shared" si="3"/>
        <v>Consider / Consolidate</v>
      </c>
    </row>
    <row r="45" spans="1:13">
      <c r="A45" s="2" t="s">
        <v>285</v>
      </c>
      <c r="B45" s="2" t="s">
        <v>165</v>
      </c>
      <c r="C45" s="2" t="s">
        <v>292</v>
      </c>
      <c r="D45" s="2" t="s">
        <v>115</v>
      </c>
      <c r="E45" s="2" t="s">
        <v>293</v>
      </c>
      <c r="F45" s="2" t="s">
        <v>294</v>
      </c>
      <c r="G45" s="2" t="s">
        <v>26</v>
      </c>
      <c r="H45" s="2" t="s">
        <v>17</v>
      </c>
      <c r="I45" s="6" t="s">
        <v>295</v>
      </c>
      <c r="J45" s="2" t="s">
        <v>19</v>
      </c>
      <c r="K45" s="6" t="s">
        <v>296</v>
      </c>
      <c r="L45" s="2">
        <f t="shared" si="2"/>
        <v>4</v>
      </c>
      <c r="M45" s="2" t="str">
        <f t="shared" si="3"/>
        <v>Consider / Consolidate</v>
      </c>
    </row>
    <row r="46" spans="1:13" hidden="1">
      <c r="A46" s="2" t="s">
        <v>285</v>
      </c>
      <c r="B46" s="2" t="s">
        <v>297</v>
      </c>
      <c r="C46" s="2" t="s">
        <v>298</v>
      </c>
      <c r="D46" s="2" t="s">
        <v>32</v>
      </c>
      <c r="E46" s="2" t="s">
        <v>299</v>
      </c>
      <c r="F46" s="2" t="s">
        <v>300</v>
      </c>
      <c r="G46" s="2" t="s">
        <v>26</v>
      </c>
      <c r="H46" s="2" t="s">
        <v>26</v>
      </c>
      <c r="I46" s="6" t="s">
        <v>301</v>
      </c>
      <c r="J46" s="2" t="s">
        <v>28</v>
      </c>
      <c r="K46" s="6" t="s">
        <v>302</v>
      </c>
      <c r="L46" s="2">
        <f t="shared" si="2"/>
        <v>2</v>
      </c>
      <c r="M46" s="2" t="str">
        <f t="shared" si="3"/>
        <v>Boundary input / omit</v>
      </c>
    </row>
    <row r="47" spans="1:13" hidden="1">
      <c r="A47" s="2" t="s">
        <v>285</v>
      </c>
      <c r="B47" s="2" t="s">
        <v>303</v>
      </c>
      <c r="C47" s="2" t="s">
        <v>304</v>
      </c>
      <c r="D47" s="2" t="s">
        <v>305</v>
      </c>
      <c r="E47" s="2" t="s">
        <v>306</v>
      </c>
      <c r="F47" s="2" t="s">
        <v>307</v>
      </c>
      <c r="G47" s="2" t="s">
        <v>26</v>
      </c>
      <c r="H47" s="2" t="s">
        <v>17</v>
      </c>
      <c r="I47" s="6" t="s">
        <v>308</v>
      </c>
      <c r="J47" s="2" t="s">
        <v>28</v>
      </c>
      <c r="K47" s="6" t="s">
        <v>337</v>
      </c>
      <c r="L47" s="2">
        <f t="shared" si="2"/>
        <v>2</v>
      </c>
      <c r="M47" s="2" t="str">
        <f t="shared" si="3"/>
        <v>Boundary input / omit</v>
      </c>
    </row>
    <row r="48" spans="1:13" hidden="1">
      <c r="A48" s="2" t="s">
        <v>285</v>
      </c>
      <c r="B48" s="2" t="s">
        <v>309</v>
      </c>
      <c r="C48" s="2" t="s">
        <v>310</v>
      </c>
      <c r="D48" s="2" t="s">
        <v>23</v>
      </c>
      <c r="E48" s="2" t="s">
        <v>311</v>
      </c>
      <c r="F48" s="2" t="s">
        <v>312</v>
      </c>
      <c r="G48" s="2" t="s">
        <v>177</v>
      </c>
      <c r="H48" s="2" t="s">
        <v>26</v>
      </c>
      <c r="I48" s="6" t="s">
        <v>313</v>
      </c>
      <c r="J48" s="2" t="s">
        <v>28</v>
      </c>
      <c r="K48" s="6" t="s">
        <v>314</v>
      </c>
      <c r="L48" s="2">
        <f t="shared" si="2"/>
        <v>1</v>
      </c>
      <c r="M48" s="2" t="str">
        <f t="shared" si="3"/>
        <v>Boundary input / omit</v>
      </c>
    </row>
    <row r="49" spans="1:13" hidden="1">
      <c r="A49" s="2" t="s">
        <v>285</v>
      </c>
      <c r="B49" s="2" t="s">
        <v>315</v>
      </c>
      <c r="C49" s="2" t="s">
        <v>316</v>
      </c>
      <c r="D49" s="2" t="s">
        <v>14</v>
      </c>
      <c r="E49" s="2" t="s">
        <v>317</v>
      </c>
      <c r="F49" s="2" t="s">
        <v>318</v>
      </c>
      <c r="G49" s="2" t="s">
        <v>26</v>
      </c>
      <c r="H49" s="2" t="s">
        <v>26</v>
      </c>
      <c r="I49" s="6" t="s">
        <v>319</v>
      </c>
      <c r="J49" s="2" t="s">
        <v>28</v>
      </c>
      <c r="K49" s="6" t="s">
        <v>320</v>
      </c>
      <c r="L49" s="2">
        <f t="shared" si="2"/>
        <v>2</v>
      </c>
      <c r="M49" s="2" t="str">
        <f t="shared" si="3"/>
        <v>Boundary input / omit</v>
      </c>
    </row>
  </sheetData>
  <conditionalFormatting sqref="J2:J49">
    <cfRule type="expression" dxfId="2" priority="1">
      <formula>J2="High"</formula>
    </cfRule>
    <cfRule type="expression" dxfId="1" priority="2">
      <formula>J2="Medium"</formula>
    </cfRule>
    <cfRule type="expression" dxfId="0" priority="3">
      <formula>J2="Low"</formula>
    </cfRule>
  </conditionalFormatting>
  <dataValidations count="2">
    <dataValidation type="list" sqref="G2:H49" xr:uid="{00000000-0002-0000-0000-000000000000}">
      <formula1>"Yes,Indirect,No"</formula1>
    </dataValidation>
    <dataValidation type="list" sqref="J2:J49" xr:uid="{00000000-0002-0000-0000-000001000000}">
      <formula1>"High,Medium,Low"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>
      <selection activeCell="B7" sqref="B7"/>
    </sheetView>
  </sheetViews>
  <sheetFormatPr defaultRowHeight="14"/>
  <cols>
    <col min="1" max="1" width="25" customWidth="1"/>
    <col min="2" max="2" width="90" customWidth="1"/>
  </cols>
  <sheetData>
    <row r="1" spans="1:2" ht="20">
      <c r="A1" s="4" t="s">
        <v>321</v>
      </c>
      <c r="B1" s="4"/>
    </row>
    <row r="2" spans="1:2" ht="28">
      <c r="A2" s="2" t="s">
        <v>322</v>
      </c>
      <c r="B2" s="2" t="s">
        <v>323</v>
      </c>
    </row>
    <row r="3" spans="1:2">
      <c r="A3" s="3" t="s">
        <v>324</v>
      </c>
      <c r="B3" s="3" t="s">
        <v>325</v>
      </c>
    </row>
    <row r="4" spans="1:2" ht="28">
      <c r="A4" s="2" t="s">
        <v>7</v>
      </c>
      <c r="B4" s="2" t="s">
        <v>326</v>
      </c>
    </row>
    <row r="5" spans="1:2" ht="28">
      <c r="A5" s="2" t="s">
        <v>5</v>
      </c>
      <c r="B5" s="2" t="s">
        <v>327</v>
      </c>
    </row>
    <row r="6" spans="1:2">
      <c r="A6" s="2" t="s">
        <v>9</v>
      </c>
      <c r="B6" s="2" t="s">
        <v>328</v>
      </c>
    </row>
    <row r="7" spans="1:2">
      <c r="A7" s="2" t="s">
        <v>10</v>
      </c>
      <c r="B7" s="2" t="s">
        <v>329</v>
      </c>
    </row>
    <row r="8" spans="1:2" ht="28">
      <c r="A8" s="2" t="s">
        <v>330</v>
      </c>
      <c r="B8" s="2" t="s">
        <v>331</v>
      </c>
    </row>
    <row r="9" spans="1:2" ht="42">
      <c r="A9" s="2" t="s">
        <v>332</v>
      </c>
      <c r="B9" s="2" t="s">
        <v>333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Stakeholder Assessment</vt:lpstr>
      <vt:lpstr>Decision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Owen O'Keefe</dc:creator>
  <cp:lastModifiedBy>Owen O'Keefe</cp:lastModifiedBy>
  <dcterms:created xsi:type="dcterms:W3CDTF">2026-09-09T20:46:41Z</dcterms:created>
  <dcterms:modified xsi:type="dcterms:W3CDTF">2026-09-09T20:47:05Z</dcterms:modified>
</cp:coreProperties>
</file>