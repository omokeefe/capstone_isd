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repos\capstone_isd\projects\nas-sos-capstone\cameo_models\print\"/>
    </mc:Choice>
  </mc:AlternateContent>
  <xr:revisionPtr revIDLastSave="0" documentId="8_{03AF66EA-5324-4B51-BE09-FBD67C411CD7}" xr6:coauthVersionLast="47" xr6:coauthVersionMax="47" xr10:uidLastSave="{00000000-0000-0000-0000-000000000000}"/>
  <bookViews>
    <workbookView xWindow="1320" yWindow="0" windowWidth="27270" windowHeight="20985" xr2:uid="{00000000-000D-0000-FFFF-FFFF00000000}"/>
  </bookViews>
  <sheets>
    <sheet name="Decomposition" sheetId="1" r:id="rId1"/>
    <sheet name="Coverage" sheetId="2" r:id="rId2"/>
    <sheet name="Objectives" sheetId="3" r:id="rId3"/>
    <sheet name="Stakeholder reqs" sheetId="4" r:id="rId4"/>
    <sheet name="System reqs" sheetId="5" r:id="rId5"/>
    <sheet name="Sub-system HLRs" sheetId="6" r:id="rId6"/>
    <sheet name="About" sheetId="7" r:id="rId7"/>
  </sheets>
  <definedNames>
    <definedName name="_xlnm._FilterDatabase" localSheetId="0" hidden="1">Decomposition!$A$1:$H$139</definedName>
    <definedName name="_xlnm._FilterDatabase" localSheetId="2" hidden="1">Objectives!$A$1:$H$47</definedName>
    <definedName name="_xlnm._FilterDatabase" localSheetId="3" hidden="1">'Stakeholder reqs'!$A$1:$K$31</definedName>
    <definedName name="_xlnm._FilterDatabase" localSheetId="5" hidden="1">'Sub-system HLRs'!$A$1:$Q$30</definedName>
    <definedName name="_xlnm._FilterDatabase" localSheetId="4" hidden="1">'System reqs'!$A$1:$P$43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1" l="1" a="1"/>
  <c r="G5" i="1" a="1"/>
  <c r="G6" i="1" a="1"/>
  <c r="G7" i="1" a="1"/>
  <c r="G8" i="1" a="1"/>
  <c r="G9" i="1" a="1"/>
  <c r="G10" i="1" a="1"/>
  <c r="G11" i="1" a="1"/>
  <c r="G12" i="1" a="1"/>
  <c r="G13" i="1" a="1"/>
  <c r="G14" i="1" a="1"/>
  <c r="G15" i="1" a="1"/>
  <c r="G16" i="1" a="1"/>
  <c r="G17" i="1" a="1"/>
  <c r="G18" i="1" a="1"/>
  <c r="G19" i="1" a="1"/>
  <c r="G20" i="1" a="1"/>
  <c r="G21" i="1" a="1"/>
  <c r="G22" i="1" a="1"/>
  <c r="G23" i="1" a="1"/>
  <c r="G24" i="1" a="1"/>
  <c r="G25" i="1" a="1"/>
  <c r="G26" i="1" a="1"/>
  <c r="G27" i="1" a="1"/>
  <c r="G28" i="1" a="1"/>
  <c r="G29" i="1" a="1"/>
  <c r="G30" i="1" a="1"/>
  <c r="G31" i="1" a="1"/>
  <c r="G32" i="1" a="1"/>
  <c r="G33" i="1" a="1"/>
  <c r="G34" i="1" a="1"/>
  <c r="G35" i="1" a="1"/>
  <c r="G36" i="1" a="1"/>
  <c r="G37" i="1" a="1"/>
  <c r="G38" i="1" a="1"/>
  <c r="G39" i="1" a="1"/>
  <c r="G40" i="1" a="1"/>
  <c r="G41" i="1" a="1"/>
  <c r="G42" i="1" a="1"/>
  <c r="G43" i="1" a="1"/>
  <c r="G44" i="1" a="1"/>
  <c r="G45" i="1" a="1"/>
  <c r="G46" i="1" a="1"/>
  <c r="G47" i="1" a="1"/>
  <c r="G48" i="1" a="1"/>
  <c r="G49" i="1" a="1"/>
  <c r="G50" i="1" a="1"/>
  <c r="G51" i="1" a="1"/>
  <c r="G52" i="1" a="1"/>
  <c r="G53" i="1" a="1"/>
  <c r="G54" i="1" a="1"/>
  <c r="G55" i="1" a="1"/>
  <c r="G56" i="1" a="1"/>
  <c r="G57" i="1" a="1"/>
  <c r="G58" i="1" a="1"/>
  <c r="G59" i="1" a="1"/>
  <c r="G60" i="1" a="1"/>
  <c r="G61" i="1" a="1"/>
  <c r="G62" i="1" a="1"/>
  <c r="G63" i="1" a="1"/>
  <c r="G64" i="1" a="1"/>
  <c r="G65" i="1" a="1"/>
  <c r="G66" i="1" a="1"/>
  <c r="G67" i="1" a="1"/>
  <c r="G68" i="1" a="1"/>
  <c r="G69" i="1" a="1"/>
  <c r="G70" i="1" a="1"/>
  <c r="G71" i="1" a="1"/>
  <c r="G72" i="1" a="1"/>
  <c r="G73" i="1" a="1"/>
  <c r="G74" i="1" a="1"/>
  <c r="G75" i="1" a="1"/>
  <c r="G76" i="1" a="1"/>
  <c r="G77" i="1" a="1"/>
  <c r="G78" i="1" a="1"/>
  <c r="G79" i="1" a="1"/>
  <c r="G80" i="1" a="1"/>
  <c r="G81" i="1" a="1"/>
  <c r="G82" i="1" a="1"/>
  <c r="G83" i="1" a="1"/>
  <c r="G84" i="1" a="1"/>
  <c r="G85" i="1" a="1"/>
  <c r="G86" i="1" a="1"/>
  <c r="G87" i="1" a="1"/>
  <c r="G88" i="1" a="1"/>
  <c r="G89" i="1" a="1"/>
  <c r="G90" i="1" a="1"/>
  <c r="G91" i="1" a="1"/>
  <c r="G92" i="1" a="1"/>
  <c r="G93" i="1" a="1"/>
  <c r="G94" i="1" a="1"/>
  <c r="G95" i="1" a="1"/>
  <c r="G96" i="1" a="1"/>
  <c r="G97" i="1" a="1"/>
  <c r="G98" i="1" a="1"/>
  <c r="G99" i="1" a="1"/>
  <c r="G100" i="1" a="1"/>
  <c r="G101" i="1" a="1"/>
  <c r="G102" i="1" a="1"/>
  <c r="G103" i="1" a="1"/>
  <c r="G104" i="1" a="1"/>
  <c r="G105" i="1" a="1"/>
  <c r="G106" i="1" a="1"/>
  <c r="G107" i="1" a="1"/>
  <c r="G108" i="1" a="1"/>
  <c r="G109" i="1" a="1"/>
  <c r="G110" i="1" a="1"/>
  <c r="G111" i="1" a="1"/>
  <c r="G112" i="1" a="1"/>
  <c r="G113" i="1" a="1"/>
  <c r="G114" i="1" a="1"/>
  <c r="G115" i="1" a="1"/>
  <c r="G116" i="1" a="1"/>
  <c r="G117" i="1" a="1"/>
  <c r="G118" i="1" a="1"/>
  <c r="G119" i="1" a="1"/>
  <c r="G120" i="1" a="1"/>
  <c r="G121" i="1" a="1"/>
  <c r="G122" i="1" a="1"/>
  <c r="G123" i="1" a="1"/>
  <c r="G124" i="1" a="1"/>
  <c r="G125" i="1" a="1"/>
  <c r="G126" i="1" a="1"/>
  <c r="G127" i="1" a="1"/>
  <c r="G128" i="1" a="1"/>
  <c r="G129" i="1" a="1"/>
  <c r="G130" i="1" a="1"/>
  <c r="G131" i="1" a="1"/>
  <c r="G132" i="1" a="1"/>
  <c r="G133" i="1" a="1"/>
  <c r="G134" i="1" a="1"/>
  <c r="G135" i="1" a="1"/>
  <c r="G136" i="1" a="1"/>
  <c r="G137" i="1" a="1"/>
  <c r="G138" i="1" a="1"/>
  <c r="G139" i="1" a="1"/>
  <c r="G3"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<sst xmlns="http://schemas.openxmlformats.org/spreadsheetml/2006/main" count="2104" uniqueCount="855">
  <si>
    <t>SN ID</t>
  </si>
  <si>
    <t>Stakeholder requirement</t>
  </si>
  <si>
    <t>SLR ID</t>
  </si>
  <si>
    <t>System requirement (the NAS shall)</t>
  </si>
  <si>
    <t>HLR ID</t>
  </si>
  <si>
    <t>Sub-system HLR (constituent system shall)</t>
  </si>
  <si>
    <t>Review notes</t>
  </si>
  <si>
    <t>Stakeholder: Airline</t>
  </si>
  <si>
    <t>SN-AIR-01</t>
  </si>
  <si>
    <t>The NAS shall provide a means for the airline to plan and fly each flight on the route, altitude and speed it chooses.</t>
  </si>
  <si>
    <t>SLR-PLN-01</t>
  </si>
  <si>
    <t>The NAS shall produce for each scheduled flight a flight plan that states its route, cruise altitude, cruise speed and fuel load.
(also answers SN-CRW-02)</t>
  </si>
  <si>
    <t>HLR-OPS-01</t>
  </si>
  <si>
    <t>Flight operations shall plan each flight's route, cruise altitude, cruise speed and fuel load from a model of the performance of the aircraft assigned to it, with the fuel reserve the operating rules require.
(also comes from SLR-PLN-02, SLR-PLN-04)</t>
  </si>
  <si>
    <t>SLR-PLN-02</t>
  </si>
  <si>
    <t>The NAS shall compute each flight plan from the performance of the aircraft assigned to the flight.</t>
  </si>
  <si>
    <t>Flight operations shall plan each flight's route, cruise altitude, cruise speed and fuel load from a model of the performance of the aircraft assigned to it, with the fuel reserve the operating rules require.
(also comes from SLR-PLN-01, SLR-PLN-04)</t>
  </si>
  <si>
    <t>SLR-CLR-09</t>
  </si>
  <si>
    <t>The NAS shall answer each flight crew request for a route, altitude or speed change with an approval, an amended clearance or a refusal.
(also answers SN-CRW-04, SN-PAX-03)</t>
  </si>
  <si>
    <t>HLR-CRW-03</t>
  </si>
  <si>
    <t>The flight crew shall ask air traffic control for a change of route, altitude or speed when the crew deems it beneficial, optionally in collaboration with the dispatcher.
(also comes from SLR-EXE-03)</t>
  </si>
  <si>
    <t>HLR-ATC-07</t>
  </si>
  <si>
    <t>Air traffic control shall answer each flight crew request for a route, altitude or speed change with an approval, an amended clearance or 'unable'.</t>
  </si>
  <si>
    <t>SLR-EXE-03</t>
  </si>
  <si>
    <t>The NAS shall predict each flight's arrival time, fuel at destination, optimum altitude and maximum altitude from the aircraft's estimated performance.
(also answers SN-CRW-03)</t>
  </si>
  <si>
    <t>The flight crew shall ask air traffic control for a change of route, altitude or speed when the crew deems it beneficial, optionally in collaboration with the dispatcher.
(also comes from SLR-CLR-09)</t>
  </si>
  <si>
    <t>HLR-CRW-05</t>
  </si>
  <si>
    <t>The flight crew shall enter the load sheet weights and the released cost index into the flight management system before departure.
(also comes from SLR-PLN-07)</t>
  </si>
  <si>
    <t>HLR-ACF-01</t>
  </si>
  <si>
    <t>The flight management system shall predict the flight's arrival time, fuel at the destination, optimum altitude and maximum altitude from the entered weights, the cost index and the forecast winds.</t>
  </si>
  <si>
    <t>HLR-ACF-05</t>
  </si>
  <si>
    <t>The flight management system shall make its current gross weight and its predicted optimum and maximum altitudes available for sharing with the party that decides, whether through the airline's systems or air traffic control's.
(also comes from SLR-INF-02)</t>
  </si>
  <si>
    <t>SLR-MEA-02</t>
  </si>
  <si>
    <t>The NAS shall report the fuel burned and the CO2 emitted by each flight, at 3.16 kg of CO2 per kg of fuel.
(also answers SN-ENV-01)</t>
  </si>
  <si>
    <t>HLR-OPS-07</t>
  </si>
  <si>
    <t>Flight operations shall report each flight's fuel burned and its CO2 emitted at 3.16 kg of CO2 per kg of fuel.</t>
  </si>
  <si>
    <t>SN-AIR-02</t>
  </si>
  <si>
    <t>The NAS shall provide a means for each flight to achieve arrival at its destination gate at its scheduled arrival time.</t>
  </si>
  <si>
    <t>SLR-INF-07</t>
  </si>
  <si>
    <t>The NAS shall send the airline and the destination airport an updated arrival estimate whenever a flight's estimate changes by more than 5 minutes.
(also answers SN-AIR-03, SN-APT-01)</t>
  </si>
  <si>
    <t>HLR-CRW-04</t>
  </si>
  <si>
    <t>The flight crew shall tell the dispatcher of each change to the cleared trajectory.
(also comes from SLR-EXE-06, SLR-CLR-04)</t>
  </si>
  <si>
    <t>HLR-OPS-06</t>
  </si>
  <si>
    <t>The dispatcher shall re-plan the flight with its crew when a trajectory change puts the arrival time, the fuel at the destination or flight safety at risk.
(also comes from SLR-CLR-04, SLR-EXE-06)</t>
  </si>
  <si>
    <t>SLR-APT-01</t>
  </si>
  <si>
    <t>[OUT OF STUDY] The NAS shall assign each arriving flight a gate before it lands.
(also answers SN-APT-01)</t>
  </si>
  <si>
    <t>(no HLR: not carried into the study)</t>
  </si>
  <si>
    <t>SLR-APT-04</t>
  </si>
  <si>
    <t>The NAS shall have each aircraft fuelled, loaded and sealed by its scheduled off- block time.</t>
  </si>
  <si>
    <t>HLR-APT-01</t>
  </si>
  <si>
    <t>Airport operations shall have each aircraft fuelled, loaded and sealed by its scheduled off-block time.</t>
  </si>
  <si>
    <t>HLR-APT-02</t>
  </si>
  <si>
    <t>Airport operations shall report the fuel uplifted and the load put on board to the flight crew and the load planner before off-block.
(also comes from SLR-PLN-07)</t>
  </si>
  <si>
    <t>SLR-MEA-03</t>
  </si>
  <si>
    <t>[OUT OF STUDY] The NAS shall report each flight's gate arrival time against its scheduled arrival time.
(also answers SN-PAX-02)</t>
  </si>
  <si>
    <t>SN-AIR-03</t>
  </si>
  <si>
    <t>The NAS shall inform the airline of airspace and airport constraints that will delay or reroute its flights early enough for the airline to re-plan.</t>
  </si>
  <si>
    <t>SLR-FLW-07</t>
  </si>
  <si>
    <t>[OUT OF STUDY] The NAS shall give traffic flow managers and airlines the activation schedule of special use airspace before the affected flight plans are filed.
(also answers SN-MIL-01)</t>
  </si>
  <si>
    <t>SLR-CLR-04</t>
  </si>
  <si>
    <t>The NAS shall provide a two-way communication path from the flight crew to the controlling facility and to the dispatcher for the whole flight.
(also answers SN-CRW-08)</t>
  </si>
  <si>
    <t>The flight crew shall tell the dispatcher of each change to the cleared trajectory.
(also comes from SLR-INF-07, SLR-EXE-06)</t>
  </si>
  <si>
    <t>The dispatcher shall re-plan the flight with its crew when a trajectory change puts the arrival time, the fuel at the destination or flight safety at risk.
(also comes from SLR-INF-07, SLR-EXE-06)</t>
  </si>
  <si>
    <t>HLR-ACF-04</t>
  </si>
  <si>
    <t>The aircraft communication system shall carry voice and data between the flight crew and both air traffic control and the dispatcher for the whole flight.</t>
  </si>
  <si>
    <t>The NAS shall send the airline and the destination airport an updated arrival estimate whenever a flight's estimate changes by more than 5 minutes.
(also answers SN-AIR-02, SN-APT-01)</t>
  </si>
  <si>
    <t>SN-AIR-04</t>
  </si>
  <si>
    <t>[OUT OF STUDY] The NAS shall let the airline choose which of its own flights takes a delay that the airline has been assigned.</t>
  </si>
  <si>
    <t>SLR-FLW-04</t>
  </si>
  <si>
    <t>[OUT OF STUDY] The NAS shall let an airline exchange its own flights among the departure slots it has been assigned.</t>
  </si>
  <si>
    <t>SN-AIR-05</t>
  </si>
  <si>
    <t>The NAS shall take the airline's priorities for a flight (fuel against time, and protected connections) into account when a change to that flight's trajectory is required.</t>
  </si>
  <si>
    <t>SLR-CLR-13</t>
  </si>
  <si>
    <t>[GOAL, IMPROVED] The NAS should choose, among the maneuvers that restore separation, the one with the lowest impact on the aircraft involved.
(also answers SN-ENV-01)</t>
  </si>
  <si>
    <t>HLR-ATC-05</t>
  </si>
  <si>
    <t>[GOAL, IMPROVED] Air traffic control should choose, among the clearances that resolve a conflict and can be flown, the one with the lowest impact on the systems involved.</t>
  </si>
  <si>
    <t>SLR-INF-02</t>
  </si>
  <si>
    <t>[IMPROVED] The NAS shall give the party that decides a change to an aircraft's trajectory the information needed to preserve safety and pursue optimality.
(also answers SN-CRW-03)</t>
  </si>
  <si>
    <t>HLR-OPS-05</t>
  </si>
  <si>
    <t>[IMPROVED] Flight operations shall make each flight's current gross weight, performance model, relative cost of flight time and connection priority available to the party that decides a change to that flight's trajectory.</t>
  </si>
  <si>
    <t>HLR-ATC-08</t>
  </si>
  <si>
    <t>[IMPROVED] ATC decision support shall use the best information available to it about each flight, including the gross weight, performance model, relative cost of flight time and connection priority the airline has shared, to judge which clearances the aircraft can fly and what each costs.</t>
  </si>
  <si>
    <t>The flight management system shall make its current gross weight and its predicted optimum and maximum altitudes available for sharing with the party that decides, whether through the airline's systems or air traffic control's.
(also comes from SLR-EXE-03)</t>
  </si>
  <si>
    <t>SN-AIR-06</t>
  </si>
  <si>
    <t>[OUT OF STUDY] The NAS shall keep the airline's commercially sensitive flight data (aircraft weight, cost index, connection priorities) private.</t>
  </si>
  <si>
    <t>SLR-INF-05</t>
  </si>
  <si>
    <t>[OUT OF STUDY] The NAS shall disclose an airline's shared weight, cost index and connection priority only to the parties deciding that flight's trajectory.</t>
  </si>
  <si>
    <t>Stakeholder: Air traffic control</t>
  </si>
  <si>
    <t>SN-ATC-01</t>
  </si>
  <si>
    <t>The NAS shall keep every controlled aircraft separated from every other aircraft by at least the applicable separation minimum.</t>
  </si>
  <si>
    <t>SLR-PLN-06</t>
  </si>
  <si>
    <t>The NAS shall file each flight plan with air traffic control before the flight departs.
(also answers SN-ATC-02, SN-ATC-03)</t>
  </si>
  <si>
    <t>HLR-OPS-02</t>
  </si>
  <si>
    <t>The dispatcher shall file each flight's plan with air traffic control before departure.</t>
  </si>
  <si>
    <t>SLR-CLR-01</t>
  </si>
  <si>
    <t>The NAS shall keep each pair of controlled aircraft separated by at least the minimum that JO 7110.65BB sets for the airspace they are in.
(also answers SN-CRW-06, SN-PAX-01)</t>
  </si>
  <si>
    <t>HLR-ATC-01</t>
  </si>
  <si>
    <t>Air traffic control shall keep each pair of aircraft it controls separated by at least the applicable minimum, allowing for each aircraft's permitted deviation from its cleared route, altitude and speed.
(also comes from SLR-EXE-02)</t>
  </si>
  <si>
    <t>HLR-ATC-04</t>
  </si>
  <si>
    <t>[IMPROVED] Air traffic control shall resolve each predicted conflict with a clearance that every aircraft it moves can fly.
(also comes from SLR-CLR-10)</t>
  </si>
  <si>
    <t>HLR-ACF-06</t>
  </si>
  <si>
    <t>The aircraft's surveillance system shall broadcast the aircraft's position, altitude, velocity and identity by ADS-B Out.
(also comes from SLR-CLR-02)</t>
  </si>
  <si>
    <t>SLR-CLR-02</t>
  </si>
  <si>
    <t>The NAS shall predict a loss of separation between controlled aircraft before it occurs.
(also answers SN-CRW-06)</t>
  </si>
  <si>
    <t>HLR-ATC-02</t>
  </si>
  <si>
    <t>ATC decision support shall alert the sector controller to each predicted loss of separation before it occurs.</t>
  </si>
  <si>
    <t>The aircraft's surveillance system shall broadcast the aircraft's position, altitude, velocity and identity by ADS-B Out.
(also comes from SLR-CLR-01)</t>
  </si>
  <si>
    <t>SLR-CLR-03</t>
  </si>
  <si>
    <t>[OUT OF STUDY] The NAS shall give the controlling facility the position, altitude and identity of each controlled aircraft.
(also answers SN-ATC-03)</t>
  </si>
  <si>
    <t>SLR-CLR-05</t>
  </si>
  <si>
    <t>[OUT OF STUDY] The NAS shall change a controlled aircraft's cleared route, altitude or speed only by a clearance from the facility that has control of that aircraft.
(also answers SN-GOV-02)</t>
  </si>
  <si>
    <t>SLR-INF-01</t>
  </si>
  <si>
    <t>The NAS shall give the sector controller the filed route, requested altitude and requested speed of each aircraft before it enters the sector.
(also answers SN-ATC-03)</t>
  </si>
  <si>
    <t>HLR-ATC-03</t>
  </si>
  <si>
    <t>The en-route center shall inform the sector controller of each aircraft's filed route, requested altitude and requested speed before the aircraft enters the sector.</t>
  </si>
  <si>
    <t>SLR-EXE-02</t>
  </si>
  <si>
    <t>The NAS shall fly each aircraft along its cleared route and at its cleared altitude and speed within the navigation and altitude tolerances of the airspace.
(also answers SN-ATC-03)</t>
  </si>
  <si>
    <t>HLR-CRW-01</t>
  </si>
  <si>
    <t>The flight crew shall safely control the flight from origin to destination, as cleared by air traffic control with or without negotiation, and in collaboration with flight operations.
(also comes from SLR-CLR-08, SLR-PLN-05)</t>
  </si>
  <si>
    <t>Air traffic control shall keep each pair of aircraft it controls separated by at least the applicable minimum, allowing for each aircraft's permitted deviation from its cleared route, altitude and speed.
(also comes from SLR-CLR-01)</t>
  </si>
  <si>
    <t>HLR-ACF-02</t>
  </si>
  <si>
    <t>The auto flight control system shall hold the aircraft on its cleared route, altitude and speed within the tolerances of the airspace.</t>
  </si>
  <si>
    <t>SN-ATC-02</t>
  </si>
  <si>
    <t>The NAS shall keep the number of aircraft in each sector and at each airport within its declared capacity.</t>
  </si>
  <si>
    <t>The NAS shall file each flight plan with air traffic control before the flight departs.
(also answers SN-ATC-01, SN-ATC-03)</t>
  </si>
  <si>
    <t>SLR-PLN-08</t>
  </si>
  <si>
    <t>[OUT OF STUDY] The NAS shall plan each flight to comply with the traffic management initiatives and special use airspace activations published for its time of flight.
(also answers SN-MIL-01)</t>
  </si>
  <si>
    <t>SLR-FLW-06</t>
  </si>
  <si>
    <t>[OUT OF STUDY] The NAS shall release each flight that has an expect departure clearance time (EDCT) within the permitted window around that time.
(also answers SN-ATC-03)</t>
  </si>
  <si>
    <t>SLR-APT-02</t>
  </si>
  <si>
    <t>[OUT OF STUDY] The NAS shall sequence arrivals and departures so that each runway is used at its declared capacity whenever demand is at or above that rate.
(also answers SN-APT-02)</t>
  </si>
  <si>
    <t>SN-ATC-03</t>
  </si>
  <si>
    <t>[OUT OF STUDY] The NAS shall make the path each controlled aircraft will fly known to its controller in advance.</t>
  </si>
  <si>
    <t>The NAS shall file each flight plan with air traffic control before the flight departs.
(also answers SN-ATC-01, SN-ATC-02)</t>
  </si>
  <si>
    <t>[OUT OF STUDY] The NAS shall release each flight that has an expect departure clearance time (EDCT) within the permitted window around that time.
(also answers SN-ATC-02)</t>
  </si>
  <si>
    <t>[OUT OF STUDY] The NAS shall give the controlling facility the position, altitude and identity of each controlled aircraft.
(also answers SN-ATC-01)</t>
  </si>
  <si>
    <t>The NAS shall give the sector controller the filed route, requested altitude and requested speed of each aircraft before it enters the sector.
(also answers SN-ATC-01)</t>
  </si>
  <si>
    <t>SLR-EXE-01</t>
  </si>
  <si>
    <t>[OUT OF STUDY] The NAS shall hold each flight's cleared route and altitudes in the flight management system as the path the aircraft's guidance follows.</t>
  </si>
  <si>
    <t>The NAS shall fly each aircraft along its cleared route and at its cleared altitude and speed within the navigation and altitude tolerances of the airspace.
(also answers SN-ATC-01)</t>
  </si>
  <si>
    <t>SN-ATC-04</t>
  </si>
  <si>
    <t>The NAS shall keep the number of control actions a sector controller must take within what one sector team can sustain.</t>
  </si>
  <si>
    <t>SLR-CLR-15</t>
  </si>
  <si>
    <t>The NAS shall keep the control instructions needed to resolve a conflict within what the sector team can sustain.</t>
  </si>
  <si>
    <t>HLR-ATC-06</t>
  </si>
  <si>
    <t>Air traffic control shall resolve each predicted conflict within the number of instructions the sector team can sustain.</t>
  </si>
  <si>
    <t>SN-ATC-05</t>
  </si>
  <si>
    <t>[OUT OF STUDY] The NAS shall share unavoidable delay equitably among airspace users.</t>
  </si>
  <si>
    <t>SLR-FLW-05</t>
  </si>
  <si>
    <t>[OUT OF STUDY] The NAS shall assign the delay created by a traffic management initiative equitably among all airspace users.</t>
  </si>
  <si>
    <t>SLR-MEA-04</t>
  </si>
  <si>
    <t>[OUT OF STUDY] The NAS shall report the delay each flight received from traffic management initiatives, by airline.</t>
  </si>
  <si>
    <t>Stakeholder: Flight crew</t>
  </si>
  <si>
    <t>SN-CRW-01</t>
  </si>
  <si>
    <t>[OUT OF STUDY] The NAS shall preserve the captain's final authority over the safe conduct of the flight.</t>
  </si>
  <si>
    <t>SLR-PLN-05</t>
  </si>
  <si>
    <t>The NAS shall release a flight only when the dispatcher and the captain both agree that it can be flown safely as planned.
(also answers SN-GOV-01, SN-GOV-02)</t>
  </si>
  <si>
    <t>The flight crew shall safely control the flight from origin to destination, as cleared by air traffic control with or without negotiation, and in collaboration with flight operations.
(also comes from SLR-EXE-02, SLR-CLR-08)</t>
  </si>
  <si>
    <t>HLR-OPS-04</t>
  </si>
  <si>
    <t>The dispatcher shall release a flight only with the captain's agreement that it can be flown safely as planned.</t>
  </si>
  <si>
    <t>SLR-CLR-08</t>
  </si>
  <si>
    <t>The NAS shall allow the captain to deviate from a clearance when safety requires it, with air traffic control told as soon as practical.
(also answers SN-GOV-01, SN-PAX-01)</t>
  </si>
  <si>
    <t>The flight crew shall safely control the flight from origin to destination, as cleared by air traffic control with or without negotiation, and in collaboration with flight operations.
(also comes from SLR-EXE-02, SLR-PLN-05)</t>
  </si>
  <si>
    <t>SLR-EXE-04</t>
  </si>
  <si>
    <t>[OUT OF STUDY] The NAS shall change an aircraft's flown trajectory only through flight deck controls operated by the flight crew.
(also answers SN-GOV-02)</t>
  </si>
  <si>
    <t>SN-CRW-02</t>
  </si>
  <si>
    <t>[OUT OF STUDY] The NAS shall give the flight crew the information needed for each phase of flight before that phase begins.</t>
  </si>
  <si>
    <t>The NAS shall produce for each scheduled flight a flight plan that states its route, cruise altitude, cruise speed and fuel load.
(also answers SN-AIR-01)</t>
  </si>
  <si>
    <t>SLR-PLN-07</t>
  </si>
  <si>
    <t>The NAS shall deliver the dispatch release, flight plan, weather, notices to airmen (NOTAMs) and load sheet to the flight crew before departure.
(also answers SN-CRW-07)</t>
  </si>
  <si>
    <t>The flight crew shall enter the load sheet weights and the released cost index into the flight management system before departure.
(also comes from SLR-EXE-03)</t>
  </si>
  <si>
    <t>HLR-OPS-03</t>
  </si>
  <si>
    <t>Flight operations shall give the flight crew the dispatch release, flight plan, weather, notices to airmen (NOTAMs) and load sheet before departure.</t>
  </si>
  <si>
    <t>Airport operations shall report the fuel uplifted and the load put on board to the flight crew and the load planner before off-block.
(also comes from SLR-APT-04)</t>
  </si>
  <si>
    <t>SLR-INF-06</t>
  </si>
  <si>
    <t>[OUT OF STUDY] The NAS shall give the dispatcher and the flight crew the reported and forecast weather and turbulence along the planned route.
(also answers SN-PAX-03)</t>
  </si>
  <si>
    <t>SLR-EXE-06</t>
  </si>
  <si>
    <t>The NAS shall alert the flight crew, dispatchers and controllers when the fuel predicted at the destination falls below the required reserve.
(also answers SN-GOV-01, SN-CRW-03, SN-PAX-01)</t>
  </si>
  <si>
    <t>The flight crew shall tell the dispatcher of each change to the cleared trajectory.
(also comes from SLR-INF-07, SLR-CLR-04)</t>
  </si>
  <si>
    <t>The dispatcher shall re-plan the flight with its crew when a trajectory change puts the arrival time, the fuel at the destination or flight safety at risk.
(also comes from SLR-CLR-04, SLR-INF-07)</t>
  </si>
  <si>
    <t>HLR-ACF-03</t>
  </si>
  <si>
    <t>The flight management system shall alert the flight crew when the fuel it predicts at the destination falls below the required reserve.</t>
  </si>
  <si>
    <t>SN-CRW-03</t>
  </si>
  <si>
    <t>The NAS shall give the flight crew only trajectory clearances and instructions that the aircraft can fly, with enough time to set them up.</t>
  </si>
  <si>
    <t>SLR-CLR-10</t>
  </si>
  <si>
    <t>[IMPROVED] The NAS shall issue only clearances that the aircraft can fly.</t>
  </si>
  <si>
    <t>HLR-CRW-02</t>
  </si>
  <si>
    <t>The flight crew shall accept a clearance only if the aircraft can fly it, and shall answer 'unable' when it cannot.</t>
  </si>
  <si>
    <t>[IMPROVED] Air traffic control shall resolve each predicted conflict with a clearance that every aircraft it moves can fly.
(also comes from SLR-CLR-01)</t>
  </si>
  <si>
    <t>[IMPROVED] The NAS shall give the party that decides a change to an aircraft's trajectory the information needed to preserve safety and pursue optimality.
(also answers SN-AIR-05)</t>
  </si>
  <si>
    <t>The NAS shall predict each flight's arrival time, fuel at destination, optimum altitude and maximum altitude from the aircraft's estimated performance.
(also answers SN-AIR-01)</t>
  </si>
  <si>
    <t>The NAS shall alert the flight crew, dispatchers and controllers when the fuel predicted at the destination falls below the required reserve.
(also answers SN-GOV-01, SN-PAX-01, SN-CRW-02)</t>
  </si>
  <si>
    <t>SN-CRW-04</t>
  </si>
  <si>
    <t>[OUT OF STUDY] The NAS shall let the flight crew ask for a trajectory change and get an answer.</t>
  </si>
  <si>
    <t>The NAS shall answer each flight crew request for a route, altitude or speed change with an approval, an amended clearance or a refusal.
(also answers SN-AIR-01, SN-PAX-03)</t>
  </si>
  <si>
    <t>SN-CRW-05</t>
  </si>
  <si>
    <t>[OUT OF STUDY] The NAS shall keep each flight crew member within flight and duty time limits.</t>
  </si>
  <si>
    <t>SLR-PLN-09</t>
  </si>
  <si>
    <t>[OUT OF STUDY] The NAS shall assign to each flight a crew whose duty period, including forecast delay, stays within the limits of 14 CFR Part 117.
(also answers SN-GOV-01)</t>
  </si>
  <si>
    <t>SN-CRW-06</t>
  </si>
  <si>
    <t>The NAS shall provide the flight crew clearances that account for air traffic.</t>
  </si>
  <si>
    <t>The NAS shall keep each pair of controlled aircraft separated by at least the minimum that JO 7110.65BB sets for the airspace they are in.
(also answers SN-ATC-01, SN-PAX-01)</t>
  </si>
  <si>
    <t>The NAS shall predict a loss of separation between controlled aircraft before it occurs.
(also answers SN-ATC-01)</t>
  </si>
  <si>
    <t>SN-CRW-07</t>
  </si>
  <si>
    <t>The NAS shall inform the flight crew of weather, traffic and other safety considerations.</t>
  </si>
  <si>
    <t>The NAS shall deliver the dispatch release, flight plan, weather, notices to airmen (NOTAMs) and load sheet to the flight crew before departure.
(also answers SN-CRW-02)</t>
  </si>
  <si>
    <t>SN-CRW-08</t>
  </si>
  <si>
    <t>The NAS shall facilitate control of the aircraft across regional sectors, coordinating controls, clearances and handoffs.</t>
  </si>
  <si>
    <t>The NAS shall provide a two-way communication path from the flight crew to the controlling facility and to the dispatcher for the whole flight.
(also answers SN-AIR-03)</t>
  </si>
  <si>
    <t>Stakeholder: Regulator</t>
  </si>
  <si>
    <t>SN-GOV-01</t>
  </si>
  <si>
    <t>[BACKGROUND] The NAS shall conduct every flight within the operating rules of 14 CFR and the FAA's air traffic orders.</t>
  </si>
  <si>
    <t>SLR-PLN-04</t>
  </si>
  <si>
    <t>The NAS shall load each flight with fuel to reach its destination, then its most distant alternate, then fly 45 minutes at normal cruise.
(also answers SN-PAX-01)</t>
  </si>
  <si>
    <t>Flight operations shall plan each flight's route, cruise altitude, cruise speed and fuel load from a model of the performance of the aircraft assigned to it, with the fuel reserve the operating rules require.
(also comes from SLR-PLN-01, SLR-PLN-02)</t>
  </si>
  <si>
    <t>The NAS shall release a flight only when the dispatcher and the captain both agree that it can be flown safely as planned.
(also answers SN-CRW-01, SN-GOV-02)</t>
  </si>
  <si>
    <t>[OUT OF STUDY] The NAS shall assign to each flight a crew whose duty period, including forecast delay, stays within the limits of 14 CFR Part 117.
(also answers SN-CRW-05)</t>
  </si>
  <si>
    <t>The NAS shall allow the captain to deviate from a clearance when safety requires it, with air traffic control told as soon as practical.
(also answers SN-CRW-01, SN-PAX-01)</t>
  </si>
  <si>
    <t>The NAS shall alert the flight crew, dispatchers and controllers when the fuel predicted at the destination falls below the required reserve.
(also answers SN-CRW-03, SN-PAX-01, SN-CRW-02)</t>
  </si>
  <si>
    <t>SLR-MEA-01</t>
  </si>
  <si>
    <t>The NAS shall record each change to an aircraft's trajectory, to its clearance, or to the constraints imposed on it, with the authority that issued it and the time.
(also answers SN-GOV-02)</t>
  </si>
  <si>
    <t>HLR-ATC-09</t>
  </si>
  <si>
    <t>Air traffic control shall record each clearance it issues with the issuing facility and the time.</t>
  </si>
  <si>
    <t>SN-GOV-02</t>
  </si>
  <si>
    <t>[OUT OF STUDY] The NAS shall make one identified authority accountable for each decision that changes a flight's trajectory.</t>
  </si>
  <si>
    <t>The NAS shall release a flight only when the dispatcher and the captain both agree that it can be flown safely as planned.
(also answers SN-GOV-01, SN-CRW-01)</t>
  </si>
  <si>
    <t>[OUT OF STUDY] The NAS shall change a controlled aircraft's cleared route, altitude or speed only by a clearance from the facility that has control of that aircraft.
(also answers SN-ATC-01)</t>
  </si>
  <si>
    <t>[OUT OF STUDY] The NAS shall change an aircraft's flown trajectory only through flight deck controls operated by the flight crew.
(also answers SN-CRW-01)</t>
  </si>
  <si>
    <t>The NAS shall record each change to an aircraft's trajectory, to its clearance, or to the constraints imposed on it, with the authority that issued it and the time.
(also answers SN-GOV-01)</t>
  </si>
  <si>
    <t>Stakeholder: Communities and environment</t>
  </si>
  <si>
    <t>SN-ENV-01</t>
  </si>
  <si>
    <t>[BACKGROUND] The NAS shall keep the CO2 emitted by each flight as low as safety, economics and capacity allow.</t>
  </si>
  <si>
    <t>[GOAL, IMPROVED] The NAS should choose, among the maneuvers that restore separation, the one with the lowest impact on the aircraft involved.
(also answers SN-AIR-05)</t>
  </si>
  <si>
    <t>SLR-APT-03</t>
  </si>
  <si>
    <t>[OUT OF STUDY] The NAS shall hold a flight that has a known departure delay at its gate with engines off, not in a taxiway queue.
(also answers SN-APT-03)</t>
  </si>
  <si>
    <t>The NAS shall report the fuel burned and the CO2 emitted by each flight, at 3.16 kg of CO2 per kg of fuel.
(also answers SN-AIR-01)</t>
  </si>
  <si>
    <t>SN-ENV-02</t>
  </si>
  <si>
    <t>[OUT OF STUDY] The NAS shall keep aircraft noise over communities near airports within the published noise abatement procedures.</t>
  </si>
  <si>
    <t>SLR-APT-05</t>
  </si>
  <si>
    <t>[OUT OF STUDY] The NAS shall assign departure and arrival procedures that follow the airport's published noise abatement procedures.</t>
  </si>
  <si>
    <t>Stakeholder: Airport operator</t>
  </si>
  <si>
    <t>SN-APT-01</t>
  </si>
  <si>
    <t>[OUT OF STUDY] The NAS shall give the airport operator arrival and departure times reliable enough to assign gates and ground crews.</t>
  </si>
  <si>
    <t>The NAS shall send the airline and the destination airport an updated arrival estimate whenever a flight's estimate changes by more than 5 minutes.
(also answers SN-AIR-02, SN-AIR-03)</t>
  </si>
  <si>
    <t>[OUT OF STUDY] The NAS shall assign each arriving flight a gate before it lands.
(also answers SN-AIR-02)</t>
  </si>
  <si>
    <t>SN-APT-02</t>
  </si>
  <si>
    <t>[OUT OF STUDY] The NAS shall use the runway capacity the airport has declared available.</t>
  </si>
  <si>
    <t>[OUT OF STUDY] The NAS shall sequence arrivals and departures so that each runway is used at its declared capacity whenever demand is at or above that rate.
(also answers SN-ATC-02)</t>
  </si>
  <si>
    <t>SN-APT-03</t>
  </si>
  <si>
    <t>[OUT OF STUDY] The NAS shall keep the time aircraft wait on taxiways with engines running as short as practical.</t>
  </si>
  <si>
    <t>[OUT OF STUDY] The NAS shall hold a flight that has a known departure delay at its gate with engines off, not in a taxiway queue.
(also answers SN-ENV-01)</t>
  </si>
  <si>
    <t>Stakeholder: Passengers</t>
  </si>
  <si>
    <t>SN-PAX-01</t>
  </si>
  <si>
    <t>[OUT OF STUDY] The NAS shall carry passengers without injury.</t>
  </si>
  <si>
    <t>The NAS shall load each flight with fuel to reach its destination, then its most distant alternate, then fly 45 minutes at normal cruise.
(also answers SN-GOV-01)</t>
  </si>
  <si>
    <t>The NAS shall keep each pair of controlled aircraft separated by at least the minimum that JO 7110.65BB sets for the airspace they are in.
(also answers SN-ATC-01, SN-CRW-06)</t>
  </si>
  <si>
    <t>The NAS shall allow the captain to deviate from a clearance when safety requires it, with air traffic control told as soon as practical.
(also answers SN-GOV-01, SN-CRW-01)</t>
  </si>
  <si>
    <t>The NAS shall alert the flight crew, dispatchers and controllers when the fuel predicted at the destination falls below the required reserve.
(also answers SN-GOV-01, SN-CRW-03, SN-CRW-02)</t>
  </si>
  <si>
    <t>SN-PAX-02</t>
  </si>
  <si>
    <t>[OUT OF STUDY] The NAS shall get passengers to their destination, including connections, at the time they were sold.</t>
  </si>
  <si>
    <t>[OUT OF STUDY] The NAS shall report each flight's gate arrival time against its scheduled arrival time.
(also answers SN-AIR-02)</t>
  </si>
  <si>
    <t>SN-PAX-03</t>
  </si>
  <si>
    <t>[OUT OF STUDY] The NAS shall avoid known turbulence where a route or altitude change allows it.</t>
  </si>
  <si>
    <t>The NAS shall answer each flight crew request for a route, altitude or speed change with an approval, an amended clearance or a refusal.
(also answers SN-AIR-01, SN-CRW-04)</t>
  </si>
  <si>
    <t>[OUT OF STUDY] The NAS shall give the dispatcher and the flight crew the reported and forecast weather and turbulence along the planned route.
(also answers SN-CRW-02)</t>
  </si>
  <si>
    <t>Stakeholder: Military airspace users</t>
  </si>
  <si>
    <t>SN-MIL-01</t>
  </si>
  <si>
    <t>[OUT OF STUDY] The NAS shall give military operations sole use of special use airspace while it is scheduled active.</t>
  </si>
  <si>
    <t>[OUT OF STUDY] The NAS shall plan each flight to comply with the traffic management initiatives and special use airspace activations published for its time of flight.
(also answers SN-ATC-02)</t>
  </si>
  <si>
    <t>[OUT OF STUDY] The NAS shall give traffic flow managers and airlines the activation schedule of special use airspace before the affected flight plans are filed.
(also answers SN-AIR-03)</t>
  </si>
  <si>
    <t>SLR-CLR-14</t>
  </si>
  <si>
    <t>[OUT OF STUDY] The NAS shall keep civil aircraft out of special use airspace while it is active, unless the using agency releases it.</t>
  </si>
  <si>
    <t>Check</t>
  </si>
  <si>
    <t>Count</t>
  </si>
  <si>
    <t>Which</t>
  </si>
  <si>
    <t>Stakeholder requirements in the study</t>
  </si>
  <si>
    <t>SN-AIR-01, SN-AIR-02, SN-AIR-03, SN-AIR-05, SN-ATC-01, SN-ATC-02, SN-ATC-04, SN-CRW-03, SN-CRW-06, SN-CRW-07, SN-CRW-08</t>
  </si>
  <si>
    <t>Stakeholder requirements tagged background</t>
  </si>
  <si>
    <t>SN-GOV-01, SN-ENV-01</t>
  </si>
  <si>
    <t>Stakeholder requirements out of the study</t>
  </si>
  <si>
    <t>SN-AIR-04, SN-AIR-06, SN-ATC-03, SN-ATC-05, SN-CRW-01, SN-CRW-02, SN-CRW-04, SN-CRW-05, SN-GOV-02, SN-ENV-02, SN-APT-01, SN-APT-02, SN-APT-03, SN-PAX-01, SN-PAX-02, SN-PAX-03, SN-MIL-01</t>
  </si>
  <si>
    <t>System requirements in the study</t>
  </si>
  <si>
    <t>SLR-PLN-01, SLR-PLN-02, SLR-PLN-04, SLR-PLN-05, SLR-PLN-06, SLR-PLN-07, SLR-CLR-01, SLR-CLR-02, SLR-CLR-04, SLR-CLR-08, SLR-CLR-09, SLR-CLR-10, SLR-CLR-13, SLR-CLR-15, SLR-INF-01, SLR-INF-02, SLR-INF-07, SLR-EXE-02, SLR-EXE-03, SLR-EXE-06, SLR-APT-04, SLR-MEA-01, SLR-MEA-02</t>
  </si>
  <si>
    <t>System requirements out of the study</t>
  </si>
  <si>
    <t>SLR-PLN-08, SLR-PLN-09, SLR-FLW-04, SLR-FLW-05, SLR-FLW-06, SLR-FLW-07, SLR-CLR-03, SLR-CLR-05, SLR-CLR-14, SLR-INF-05, SLR-INF-06, SLR-EXE-01, SLR-EXE-04, SLR-APT-01, SLR-APT-02, SLR-APT-03, SLR-APT-05, SLR-MEA-03, SLR-MEA-04</t>
  </si>
  <si>
    <t>Sub-system HLRs</t>
  </si>
  <si>
    <t>HLR-CRW-01, HLR-CRW-02, HLR-CRW-03, HLR-CRW-04, HLR-CRW-05, HLR-OPS-01, HLR-OPS-02, HLR-OPS-03, HLR-OPS-04, HLR-OPS-05, HLR-OPS-06, HLR-OPS-07, HLR-ATC-01, HLR-ATC-02, HLR-ATC-03, HLR-ATC-04, HLR-ATC-05, HLR-ATC-06, HLR-ATC-07, HLR-ATC-08, HLR-ATC-09, HLR-ACF-01, HLR-ACF-02, HLR-ACF-03, HLR-ACF-04, HLR-ACF-05, HLR-ACF-06, HLR-APT-01, HLR-APT-02</t>
  </si>
  <si>
    <t>GAP: stakeholder requirement with no system requirement</t>
  </si>
  <si>
    <t>GAP: system requirement with no stakeholder parent</t>
  </si>
  <si>
    <t>GAP: system requirement in the study with no HLR</t>
  </si>
  <si>
    <t>GAP: system requirement with no allocation</t>
  </si>
  <si>
    <t>GAP: HLR with no allocation</t>
  </si>
  <si>
    <t>CHECK: out-of-study system requirement that has an HLR</t>
  </si>
  <si>
    <t>CHECK: in-study system requirement whose only parents are out of study</t>
  </si>
  <si>
    <t>CHECK: HLR reached only through out-of-study system requirements</t>
  </si>
  <si>
    <t>Category</t>
  </si>
  <si>
    <t>Objective row</t>
  </si>
  <si>
    <t>Trajectory impact</t>
  </si>
  <si>
    <t>Background / out of study</t>
  </si>
  <si>
    <t>In-study system requirements reached</t>
  </si>
  <si>
    <t>HLRs reached</t>
  </si>
  <si>
    <t>Airline</t>
  </si>
  <si>
    <t>Fuel cost</t>
  </si>
  <si>
    <t>Yes</t>
  </si>
  <si>
    <t>SN-AIR-01, SN-AIR-05</t>
  </si>
  <si>
    <t>SLR-PLN-01, SLR-PLN-02, SLR-CLR-09, SLR-CLR-13, SLR-INF-02, SLR-EXE-03, SLR-MEA-02</t>
  </si>
  <si>
    <t>HLR-CRW-03, HLR-CRW-05, HLR-OPS-01, HLR-OPS-05, HLR-OPS-07, HLR-ATC-05, HLR-ATC-07, HLR-ATC-08, HLR-ACF-01, HLR-ACF-05</t>
  </si>
  <si>
    <t>Crew cost</t>
  </si>
  <si>
    <t>Indirect</t>
  </si>
  <si>
    <t>SLR-PLN-01, SLR-PLN-02, SLR-CLR-09, SLR-EXE-03, SLR-MEA-02</t>
  </si>
  <si>
    <t>HLR-CRW-03, HLR-CRW-05, HLR-OPS-01, HLR-OPS-07, HLR-ATC-07, HLR-ACF-01, HLR-ACF-05</t>
  </si>
  <si>
    <t>Aircraft utilization</t>
  </si>
  <si>
    <t>SLR-INF-07, SLR-APT-04</t>
  </si>
  <si>
    <t>HLR-CRW-04, HLR-OPS-06, HLR-APT-01, HLR-APT-02</t>
  </si>
  <si>
    <t>Maintenance</t>
  </si>
  <si>
    <t>Schedule integrity</t>
  </si>
  <si>
    <t>SN-AIR-02, SN-AIR-03, SN-AIR-05</t>
  </si>
  <si>
    <t>SLR-CLR-04, SLR-CLR-13, SLR-INF-02, SLR-INF-07, SLR-APT-04</t>
  </si>
  <si>
    <t>HLR-CRW-04, HLR-OPS-05, HLR-OPS-06, HLR-ATC-05, HLR-ATC-08, HLR-ACF-04, HLR-ACF-05, HLR-APT-01, HLR-APT-02</t>
  </si>
  <si>
    <t>Passenger connections</t>
  </si>
  <si>
    <t>SN-AIR-02, SN-AIR-05</t>
  </si>
  <si>
    <t>SN-AIR-04 (out of study)</t>
  </si>
  <si>
    <t>SLR-CLR-13, SLR-INF-02, SLR-INF-07, SLR-APT-04</t>
  </si>
  <si>
    <t>HLR-CRW-04, HLR-OPS-05, HLR-OPS-06, HLR-ATC-05, HLR-ATC-08, HLR-ACF-05, HLR-APT-01, HLR-APT-02</t>
  </si>
  <si>
    <t>Delay cost</t>
  </si>
  <si>
    <t>SN-AIR-01, SN-AIR-03</t>
  </si>
  <si>
    <t>SLR-PLN-01, SLR-PLN-02, SLR-CLR-04, SLR-CLR-09, SLR-INF-07, SLR-EXE-03, SLR-MEA-02</t>
  </si>
  <si>
    <t>HLR-CRW-03, HLR-CRW-04, HLR-CRW-05, HLR-OPS-01, HLR-OPS-06, HLR-OPS-07, HLR-ATC-07, HLR-ACF-01, HLR-ACF-04, HLR-ACF-05</t>
  </si>
  <si>
    <t>Revenue</t>
  </si>
  <si>
    <t>Dispatch reliability</t>
  </si>
  <si>
    <t>Flight Safety</t>
  </si>
  <si>
    <t>SN-PAX-01 (out of study)</t>
  </si>
  <si>
    <t>SLR-PLN-06, SLR-CLR-01, SLR-CLR-02, SLR-INF-01, SLR-EXE-02</t>
  </si>
  <si>
    <t>HLR-CRW-01, HLR-OPS-02, HLR-ATC-01, HLR-ATC-02, HLR-ATC-03, HLR-ATC-04, HLR-ACF-02, HLR-ACF-06</t>
  </si>
  <si>
    <t>Passenger</t>
  </si>
  <si>
    <t>Ticket price</t>
  </si>
  <si>
    <t>No</t>
  </si>
  <si>
    <t>Travel time</t>
  </si>
  <si>
    <t>SN-PAX-02 (out of study)</t>
  </si>
  <si>
    <t>Connection reliability</t>
  </si>
  <si>
    <t>Schedule convenience</t>
  </si>
  <si>
    <t>Comfort</t>
  </si>
  <si>
    <t>SN-PAX-03 (out of study)</t>
  </si>
  <si>
    <t>Disruption risk</t>
  </si>
  <si>
    <t>ATC / ANSP</t>
  </si>
  <si>
    <t>Safety/separation</t>
  </si>
  <si>
    <t>Sector workload</t>
  </si>
  <si>
    <t>Capacity</t>
  </si>
  <si>
    <t>Predictability</t>
  </si>
  <si>
    <t>SN-ATC-03 (out of study)</t>
  </si>
  <si>
    <t>Delay (ATC-attributed)</t>
  </si>
  <si>
    <t>SN-ATC-05 (out of study)</t>
  </si>
  <si>
    <t>Traffic complexity</t>
  </si>
  <si>
    <t>Airport</t>
  </si>
  <si>
    <t>Gate utilization</t>
  </si>
  <si>
    <t>SN-APT-01 (out of study)</t>
  </si>
  <si>
    <t>Runway utilization</t>
  </si>
  <si>
    <t>SN-APT-02 (out of study)</t>
  </si>
  <si>
    <t>Surface congestion</t>
  </si>
  <si>
    <t>SN-APT-03 (out of study)</t>
  </si>
  <si>
    <t>Turnaround performance</t>
  </si>
  <si>
    <t>Passenger throughput</t>
  </si>
  <si>
    <t>Flight Crew</t>
  </si>
  <si>
    <t>Safety</t>
  </si>
  <si>
    <t>SN-CRW-03, SN-CRW-06, SN-CRW-07</t>
  </si>
  <si>
    <t>SN-CRW-01 (out of study), SN-CRW-02 (out of study)</t>
  </si>
  <si>
    <t>SLR-PLN-07, SLR-CLR-01, SLR-CLR-02, SLR-CLR-10, SLR-INF-02, SLR-EXE-03, SLR-EXE-06</t>
  </si>
  <si>
    <t>HLR-CRW-02, HLR-CRW-03, HLR-CRW-04, HLR-CRW-05, HLR-OPS-03, HLR-OPS-05, HLR-OPS-06, HLR-ATC-01, HLR-ATC-02, HLR-ATC-04, HLR-ATC-08, HLR-ACF-01, HLR-ACF-03, HLR-ACF-05, HLR-ACF-06, HLR-APT-02</t>
  </si>
  <si>
    <t>Workload</t>
  </si>
  <si>
    <t>SN-CRW-03, SN-CRW-08</t>
  </si>
  <si>
    <t>SLR-CLR-04, SLR-CLR-10, SLR-INF-02, SLR-EXE-03, SLR-EXE-06</t>
  </si>
  <si>
    <t>HLR-CRW-02, HLR-CRW-03, HLR-CRW-04, HLR-CRW-05, HLR-OPS-05, HLR-OPS-06, HLR-ATC-04, HLR-ATC-08, HLR-ACF-01, HLR-ACF-03, HLR-ACF-04, HLR-ACF-05</t>
  </si>
  <si>
    <t>Procedural compliance</t>
  </si>
  <si>
    <t>SN-CRW-07, SN-CRW-08</t>
  </si>
  <si>
    <t>SN-CRW-02 (out of study)</t>
  </si>
  <si>
    <t>SLR-PLN-07, SLR-CLR-04</t>
  </si>
  <si>
    <t>HLR-CRW-04, HLR-CRW-05, HLR-OPS-03, HLR-OPS-06, HLR-ACF-04, HLR-APT-02</t>
  </si>
  <si>
    <t>Schedule/duty constraints</t>
  </si>
  <si>
    <t>SN-CRW-05 (out of study)</t>
  </si>
  <si>
    <t>Operational flexibility</t>
  </si>
  <si>
    <t>SN-CRW-01 (out of study), SN-CRW-04 (out of study)</t>
  </si>
  <si>
    <t>Environmental / Societal</t>
  </si>
  <si>
    <t>CO2</t>
  </si>
  <si>
    <t>SN-ENV-01 (background)</t>
  </si>
  <si>
    <t>NOx</t>
  </si>
  <si>
    <t>Contrail/climate effects</t>
  </si>
  <si>
    <t>Noise</t>
  </si>
  <si>
    <t>SN-ENV-02 (out of study)</t>
  </si>
  <si>
    <t>Local air quality</t>
  </si>
  <si>
    <t>Military</t>
  </si>
  <si>
    <t>Mission effectiveness</t>
  </si>
  <si>
    <t>(no requirement)</t>
  </si>
  <si>
    <t>Mission timing</t>
  </si>
  <si>
    <t>Fuel availability</t>
  </si>
  <si>
    <t>Airspace access</t>
  </si>
  <si>
    <t>SN-MIL-01 (out of study)</t>
  </si>
  <si>
    <t>Operational security</t>
  </si>
  <si>
    <t>Resilience</t>
  </si>
  <si>
    <t>(no objective row)</t>
  </si>
  <si>
    <t>SN-AIR-06 (out of study)</t>
  </si>
  <si>
    <t>Regulator</t>
  </si>
  <si>
    <t>SN-GOV-01 (background)</t>
  </si>
  <si>
    <t>SN-GOV-02 (out of study)</t>
  </si>
  <si>
    <t>ID</t>
  </si>
  <si>
    <t>Group</t>
  </si>
  <si>
    <t>Requirement</t>
  </si>
  <si>
    <t>Objective rows</t>
  </si>
  <si>
    <t>Answered by</t>
  </si>
  <si>
    <t>Scope</t>
  </si>
  <si>
    <t>Status</t>
  </si>
  <si>
    <t>Basis</t>
  </si>
  <si>
    <t>Evidence</t>
  </si>
  <si>
    <t>Rationale (from the model)</t>
  </si>
  <si>
    <t>Airline: Fuel cost; Airline: Delay cost; Airline: Crew cost; Airline: Maintenance; Airline: Revenue; Passenger: Ticket price; Passenger: Schedule convenience; Passenger: Comfort; Flight Crew: Operational flexibility; Environmental / Societal: CO2; Environmental / Societal: NOx; Environmental / Societal: Contrail/climate effects; Environmental / Societal: Noise; Environmental / Societal: Local air quality</t>
  </si>
  <si>
    <t>inStudy</t>
  </si>
  <si>
    <t>draft</t>
  </si>
  <si>
    <t>[B]</t>
  </si>
  <si>
    <t>mori2022massCruise; munro2018managingVariability</t>
  </si>
  <si>
    <t>In the study: the planned cruise altitude and speed are what a conflict resolution takes the aircraft away from, so this is what the experiment scores a resolution against. The owner struck 'at its lowest operating cost' (hand review 2026-10-11): what the airline optimizes for is the airline's own business. The owner struck ', so that the flight is flown within safety and capacity limits' (hand review 2026-10-20). Objective rows added by the owner in the workbook review of 2026-10-22 (D-032): Airline: Crew cost; Airline: Maintenance; Airline: Revenue; Passenger: Ticket price; Passenger: Schedule convenience; Passenger: Comfort; Flight Crew: Operational flexibility; Environmental / Societal: CO2; Environmental / Societal: NOx; Environmental / Societal: Contrail/climate effects; Environmental / Societal: Noise; Environmental / Societal: Local air quality. Owner on 'Passenger: Ticket price' (2026-10-22): the airline sets prices from its costs, as represented in the fuel, time and maintenance impacts of its flight schedules as planned.</t>
  </si>
  <si>
    <t>Airline: Schedule integrity; Airline: Aircraft utilization; Airline: Passenger connections; Airline: Dispatch reliability; Passenger: Travel time; Passenger: Connection reliability; Passenger: Disruption risk; ATC / ANSP: Predictability; ATC / ANSP: Delay (ATC-attributed); Airport: Gate utilization; Airport: Runway utilization; Airport: Surface congestion; Airport: Turnaround performance; Airport: Passenger throughput; Flight Crew: Schedule/duty constraints</t>
  </si>
  <si>
    <t>SLR-INF-07, SLR-APT-01, SLR-APT-04, SLR-MEA-03</t>
  </si>
  <si>
    <t>[C]</t>
  </si>
  <si>
    <t>In the study: the time side of the fuel-against-time trade, and the reason one flight's connections can outweigh its fuel (case D of the experiment). Owner's wording, hand review 2026-10-10. Objective rows added by the owner in the workbook review of 2026-10-22 (D-032): Airline: Dispatch reliability; Passenger: Travel time; Passenger: Connection reliability; Passenger: Disruption risk; ATC / ANSP: Predictability; ATC / ANSP: Delay (ATC-attributed); Airport: Gate utilization; Airport: Runway utilization; Airport: Surface congestion; Airport: Turnaround performance; Airport: Passenger throughput; Flight Crew: Schedule/duty constraints.</t>
  </si>
  <si>
    <t>Airline: Delay cost; Airline: Schedule integrity</t>
  </si>
  <si>
    <t>SLR-FLW-07, SLR-CLR-04, SLR-INF-07</t>
  </si>
  <si>
    <t>[A]</t>
  </si>
  <si>
    <t>faa2025jo72103ee</t>
  </si>
  <si>
    <t>In the study: flights are separated as filed; as uncertainty is realized, aircraft deviate and interventions are needed (owner, hand review 2026-10-11). The intervention is the constraint the airline needs to hear about, and the crew and the dispatchers are the ones who coordinate to make that happen (owner, 2026-10-11). Traffic management initiatives are outside the study (D-021).</t>
  </si>
  <si>
    <t>The NAS shall let the airline choose which of its own flights takes a delay that the airline has been assigned.</t>
  </si>
  <si>
    <t>Airline: Delay cost; Airline: Passenger connections</t>
  </si>
  <si>
    <t>outOfStudy</t>
  </si>
  <si>
    <t>Restored as out of study (D-031): the owner's hand review of 2026-10-20 keeps every stakeholder requirement of the first draft and makes the cut at the sub-system (HLR) tier. Text as on the 2026-10-10 print. Struck 2026-10-10: 'This is about slot swapping... seems like it's only on strategic timelines, not tactical like I'm studying.' JO 7210.3EE 18-10-12 places it inside a ground delay program, before departure.</t>
  </si>
  <si>
    <t>Airline: Fuel cost; Airline: Schedule integrity; Airline: Passenger connections; Flight Crew: Operational flexibility; Environmental / Societal: CO2; Environmental / Societal: NOx; Environmental / Societal: Contrail/climate effects; Environmental / Societal: Noise; Environmental / Societal: Local air quality</t>
  </si>
  <si>
    <t>SLR-CLR-13, SLR-INF-02</t>
  </si>
  <si>
    <t>schultz2012adaptiveClimb; coppenbarger1999climbPrediction; kulkarni2019ctopSlotSubstitution</t>
  </si>
  <si>
    <t>In the study: this is the requirement the experiment is about (knowledge/models/experiment-definition.md section 2). Met today in part, before departure (owner, 2026-10-22): in the FAA's Collaborative Trajectory Options Program the airline submits a Trajectory Options Set, each route option carrying a Relative Trajectory Cost in equivalent ground-delay minutes, and the FAA's algorithm adds that cost to the assigned delay and picks the cheapest option (kulkarni2019ctopSlotSubstitution, p. 4). It is not met in tactical conflict resolution in cruise, the decision the study examines: the controller does not receive weight or cost index. Owner's wording, hand review 2026-10-10. Objective rows added by the owner in the workbook review of 2026-10-22 (D-032): Flight Crew: Operational flexibility; Environmental / Societal: CO2; Environmental / Societal: NOx; Environmental / Societal: Contrail/climate effects; Environmental / Societal: Noise; Environmental / Societal: Local air quality.</t>
  </si>
  <si>
    <t>The NAS shall keep the airline's commercially sensitive flight data (aircraft weight, cost index, connection priorities) private.</t>
  </si>
  <si>
    <t>none</t>
  </si>
  <si>
    <t>schultz2012adaptiveClimb</t>
  </si>
  <si>
    <t>Restored as out of study (D-031): the owner's hand review of 2026-10-20 keeps every stakeholder requirement of the first draft and makes the cut at the sub-system (HLR) tier. Text as on the 2026-10-10 print. Struck 2026-10-10: 'Important &amp; real, but not pertinent to my project per D-007!' Carried as an assumption (D-020 item 4). No objective row matches it.</t>
  </si>
  <si>
    <t>Air traffic control</t>
  </si>
  <si>
    <t>ATC / ANSP: Safety/separation; Airline: Flight Safety</t>
  </si>
  <si>
    <t>SLR-PLN-06, SLR-CLR-01, SLR-CLR-02, SLR-CLR-03, SLR-CLR-05, SLR-INF-01, SLR-EXE-02</t>
  </si>
  <si>
    <t>faa2025jo711065bb</t>
  </si>
  <si>
    <t>In the study: the hard constraint every resolution option must meet. It is never traded against cost (knowledge/models/experiment-definition.md section 6). Objective rows added by the owner in the workbook review of 2026-10-22 (D-032): Airline: Flight Safety.</t>
  </si>
  <si>
    <t>ATC / ANSP: Capacity</t>
  </si>
  <si>
    <t>SLR-PLN-06, SLR-PLN-08, SLR-FLW-06, SLR-APT-02</t>
  </si>
  <si>
    <t>In the study: context. It is the capacity limit named in SN-AIR-01. Not marked in either hand review. The workload rows moved back to SN-ATC-04 (D-021).</t>
  </si>
  <si>
    <t>The NAS shall make the path each controlled aircraft will fly known to its controller in advance.</t>
  </si>
  <si>
    <t>ATC / ANSP: Predictability</t>
  </si>
  <si>
    <t>SLR-PLN-06, SLR-FLW-06, SLR-CLR-03, SLR-INF-01, SLR-EXE-01, SLR-EXE-02</t>
  </si>
  <si>
    <t>coppenbarger1999climbPrediction</t>
  </si>
  <si>
    <t>Restored as out of study (D-031): the owner's hand review of 2026-10-20 keeps every stakeholder requirement of the first draft and makes the cut at the sub-system (HLR) tier. Text as on the 2026-10-10 print. Struck 2026-10-10: 'Not D-007'.</t>
  </si>
  <si>
    <t>ATC / ANSP: Sector workload; ATC / ANSP: Traffic complexity</t>
  </si>
  <si>
    <t>rantanen2012conflictManeuvers; kirwan2001coraStrategies</t>
  </si>
  <si>
    <t>Struck in the first hand review and brought back in the second (owner, 2026-10-11: 'Let's bring back SN-ATC-04'). In the study: instruction count is one of the experiment's two scored columns. Workload is a ceiling, not something to minimize: a controller who is not overworked can give as many instructions as wanted (owner, same review).</t>
  </si>
  <si>
    <t>The NAS shall share unavoidable delay equitably among airspace users.</t>
  </si>
  <si>
    <t>ATC / ANSP: Delay (ATC-attributed)</t>
  </si>
  <si>
    <t>SLR-FLW-05, SLR-MEA-04</t>
  </si>
  <si>
    <t>Restored as out of study (D-031): the owner's hand review of 2026-10-20 keeps every stakeholder requirement of the first draft and makes the cut at the sub-system (HLR) tier. Text as on the 2026-10-10 print. Struck 2026-10-10 with no mark: its only system requirements were about traffic management initiatives.</t>
  </si>
  <si>
    <t>Flight crew</t>
  </si>
  <si>
    <t>The NAS shall preserve the captain's final authority over the safe conduct of the flight.</t>
  </si>
  <si>
    <t>Flight Crew: Safety; Flight Crew: Operational flexibility</t>
  </si>
  <si>
    <t>SLR-PLN-05, SLR-CLR-08, SLR-EXE-04</t>
  </si>
  <si>
    <t>14 CFR 91.3</t>
  </si>
  <si>
    <t>Restored as out of study (D-031): the owner's hand review of 2026-10-20 keeps every stakeholder requirement of the first draft and makes the cut at the sub-system (HLR) tier. Text as on the 2026-10-10 print. Struck 2026-10-10 (crossed out).</t>
  </si>
  <si>
    <t>The NAS shall give the flight crew the information needed for each phase of flight before that phase begins.</t>
  </si>
  <si>
    <t>Flight Crew: Safety; Flight Crew: Procedural compliance</t>
  </si>
  <si>
    <t>SLR-PLN-01, SLR-PLN-07, SLR-INF-06, SLR-EXE-06</t>
  </si>
  <si>
    <t>seamster2011collabSystems</t>
  </si>
  <si>
    <t>Restored as out of study (D-031): the owner's hand review of 2026-10-20 keeps every stakeholder requirement of the first draft and makes the cut at the sub-system (HLR) tier. Text as on the 2026-10-10 print. Struck 2026-10-10 and replaced by the owner's SN-CRW-07.</t>
  </si>
  <si>
    <t>Flight Crew: Workload; Flight Crew: Safety</t>
  </si>
  <si>
    <t>SLR-CLR-10, SLR-INF-02, SLR-EXE-03, SLR-EXE-06</t>
  </si>
  <si>
    <t>[SME]</t>
  </si>
  <si>
    <t>In the study: a climb the aircraft is too heavy to make is the clearance the baseline can issue and the improved architecture avoids. The only flight crew requirement of the first draft the owner kept. 'Clearances and' added by the owner (hand review 2026-10-20).</t>
  </si>
  <si>
    <t>The NAS shall let the flight crew ask for a trajectory change and get an answer.</t>
  </si>
  <si>
    <t>Flight Crew: Operational flexibility</t>
  </si>
  <si>
    <t>engility2014tasarAlaska</t>
  </si>
  <si>
    <t>The NAS shall keep each flight crew member within flight and duty time limits.</t>
  </si>
  <si>
    <t>Flight Crew: Schedule/duty constraints</t>
  </si>
  <si>
    <t>14 CFR Part 117</t>
  </si>
  <si>
    <t>Flight Crew: Safety</t>
  </si>
  <si>
    <t>SLR-CLR-01, SLR-CLR-02</t>
  </si>
  <si>
    <t>Written by the owner in the hand review of 2026-10-10 (flight crew note 1). In the study: the clearance that resolves the conflict is the thing the crew receives. Objective row confirmed by the owner (hand review 2026-10-11).</t>
  </si>
  <si>
    <t>Written by the owner in the hand review of 2026-10-10 (flight crew note 2). In the study: what the crew knows when it accepts, refuses or asks to change a clearance. On 2026-10-11 the owner replaced 'traffic management initiatives' with 'other safety considerations', as a catch-all. Objective rows confirmed by the owner (hand review 2026-10-11).</t>
  </si>
  <si>
    <t>Flight Crew: Workload; Flight Crew: Procedural compliance</t>
  </si>
  <si>
    <t>Written by the owner in the hand review of 2026-10-10 (flight crew note 3). In the study: the conflict is resolved by one sector controller, whose authority ends at the sector boundary. Objective rows confirmed by the owner (hand review 2026-10-11).</t>
  </si>
  <si>
    <t>The NAS shall conduct every flight within the operating rules of 14 CFR and the FAA's air traffic orders.</t>
  </si>
  <si>
    <t>SLR-PLN-04, SLR-PLN-05, SLR-PLN-09, SLR-CLR-08, SLR-EXE-06, SLR-MEA-01</t>
  </si>
  <si>
    <t>background</t>
  </si>
  <si>
    <t>faa2025jo711065bb; faa2025jo72103ee; 14 CFR 91; 14 CFR 121</t>
  </si>
  <si>
    <t>In the study: the rules are held fixed (D-007), so both the baseline and the improved architecture must stay inside them. Governance has no table in knowledge/models/stakeholder-objective-ontology.md; the objective is 'Regulatory Compliance' in the enterprise objective hierarchy in knowledge/models/stakeholder-register.md. The owner judged adding a Governance table not important (hand review 2026-10-10). Owner (hand review 2026-10-20): 'How is this relevant via D-007? I think I need to remove.' Kept and tagged background (D-031): the regulator is a boundary actor whose rules are an input to the study, not a stakeholder whose objectives it weighs.</t>
  </si>
  <si>
    <t>The NAS shall make one identified authority accountable for each decision that changes a flight's trajectory.</t>
  </si>
  <si>
    <t>SLR-PLN-05, SLR-CLR-05, SLR-EXE-04, SLR-MEA-01</t>
  </si>
  <si>
    <t>14 CFR 91.3; 14 CFR 121.533; faa2025jo711065bb</t>
  </si>
  <si>
    <t>Restored as out of study (D-031): the owner's hand review of 2026-10-20 keeps every stakeholder requirement of the first draft and makes the cut at the sub-system (HLR) tier. Text as on the 2026-10-10 print. Struck 2026-10-10: 'IDK about this one... the Note is an exception!' (the joint dispatcher and captain release). No objective row; from 'Regulatory Compliance' and 'Safety' in the enterprise objective hierarchy.</t>
  </si>
  <si>
    <t>Communities and environment</t>
  </si>
  <si>
    <t>The NAS shall keep the CO2 emitted by each flight as low as safety, economics and capacity allow.</t>
  </si>
  <si>
    <t>Environmental / Societal: CO2; Environmental / Societal: NOx; Environmental / Societal: Contrail/climate effects; Environmental / Societal: Local air quality</t>
  </si>
  <si>
    <t>SLR-CLR-13, SLR-APT-03, SLR-MEA-02</t>
  </si>
  <si>
    <t>icao2024icecMethodology</t>
  </si>
  <si>
    <t>In the study: CO2 is fuel burned times 3.16 (D-015), so the experiment's fuel column is also this stakeholder's column. 'Economics' was added by the owner (hand review 2026-10-10) and left standing in the second review. Owner (hand review 2026-10-20): 'This is currently in my cost, but not in my stakeholders. They're treated as background/input.' Tagged background (D-031). Objective rows added by the owner in the workbook review of 2026-10-22 (D-032): Environmental / Societal: NOx; Environmental / Societal: Contrail/climate effects; Environmental / Societal: Local air quality.</t>
  </si>
  <si>
    <t>The NAS shall keep aircraft noise over communities near airports within the published noise abatement procedures.</t>
  </si>
  <si>
    <t>Environmental / Societal: Noise</t>
  </si>
  <si>
    <t>Restored as out of study (D-031): the owner's hand review of 2026-10-20 keeps every stakeholder requirement of the first draft and makes the cut at the sub-system (HLR) tier. Text as on the 2026-10-10 print. Struck 2026-10-10: 'Not important for cruise.'</t>
  </si>
  <si>
    <t>Airport operator</t>
  </si>
  <si>
    <t>The NAS shall give the airport operator arrival and departure times reliable enough to assign gates and ground crews.</t>
  </si>
  <si>
    <t>Airport: Gate utilization; Airport: Turnaround performance; Airport: Passenger throughput</t>
  </si>
  <si>
    <t>SLR-INF-07, SLR-APT-01</t>
  </si>
  <si>
    <t>Restored as out of study (D-031): the owner's hand review of 2026-10-20 keeps every stakeholder requirement of the first draft and makes the cut at the sub-system (HLR) tier. Text as on the 2026-10-10 print. Struck 2026-10-10: 'All of these are not D-007'. Objective rows added by the owner in the workbook review of 2026-10-22 (D-032): Airport: Passenger throughput.</t>
  </si>
  <si>
    <t>The NAS shall use the runway capacity the airport has declared available.</t>
  </si>
  <si>
    <t>Airport: Runway utilization</t>
  </si>
  <si>
    <t>Restored as out of study (D-031): the owner's hand review of 2026-10-20 keeps every stakeholder requirement of the first draft and makes the cut at the sub-system (HLR) tier. Text as on the 2026-10-10 print. Struck 2026-10-10: 'All of these are not D-007'.</t>
  </si>
  <si>
    <t>The NAS shall keep the time aircraft wait on taxiways with engines running as short as practical.</t>
  </si>
  <si>
    <t>Airport: Surface congestion</t>
  </si>
  <si>
    <t>Passengers</t>
  </si>
  <si>
    <t>The NAS shall carry passengers without injury.</t>
  </si>
  <si>
    <t>Airline: Flight Safety</t>
  </si>
  <si>
    <t>SLR-PLN-04, SLR-CLR-01, SLR-CLR-08, SLR-EXE-06</t>
  </si>
  <si>
    <t>Restored as out of study (D-031): the owner's hand review of 2026-10-20 keeps every stakeholder requirement of the first draft and makes the cut at the sub-system (HLR) tier. Text as on the 2026-10-10 print. Struck 2026-10-10: 'Not D-007'. The Passenger table in stakeholder-objective-ontology.md has no safety row; the interest comes from stakeholder-register.md (Social: Passengers, safety and convenience).</t>
  </si>
  <si>
    <t>The NAS shall get passengers to their destination, including connections, at the time they were sold.</t>
  </si>
  <si>
    <t>Passenger: Travel time; Passenger: Connection reliability; Passenger: Disruption risk</t>
  </si>
  <si>
    <t>The NAS shall avoid known turbulence where a route or altitude change allows it.</t>
  </si>
  <si>
    <t>Passenger: Comfort</t>
  </si>
  <si>
    <t>SLR-CLR-09, SLR-INF-06</t>
  </si>
  <si>
    <t>Military airspace users</t>
  </si>
  <si>
    <t>The NAS shall give military operations sole use of special use airspace while it is scheduled active.</t>
  </si>
  <si>
    <t>Military: Airspace access</t>
  </si>
  <si>
    <t>SLR-PLN-08, SLR-FLW-07, SLR-CLR-14</t>
  </si>
  <si>
    <t>Restored as out of study (D-031): the owner's hand review of 2026-10-20 keeps every stakeholder requirement of the first draft and makes the cut at the sub-system (HLR) tier. Text as on the 2026-10-10 print. Struck 2026-10-10 (crossed out). D-007 makes military operations a boundary actor.</t>
  </si>
  <si>
    <t>Area</t>
  </si>
  <si>
    <t>Kind</t>
  </si>
  <si>
    <t>State</t>
  </si>
  <si>
    <t>Traces to</t>
  </si>
  <si>
    <t>Allocated to (accountable first)</t>
  </si>
  <si>
    <t>HLRs under it</t>
  </si>
  <si>
    <t>Measure</t>
  </si>
  <si>
    <t>Flight planning and release</t>
  </si>
  <si>
    <t>The NAS shall produce for each scheduled flight a flight plan that states its route, cruise altitude, cruise speed and fuel load.</t>
  </si>
  <si>
    <t>Functional</t>
  </si>
  <si>
    <t>baseline</t>
  </si>
  <si>
    <t>SN-AIR-01, SN-CRW-02</t>
  </si>
  <si>
    <t>Dispatcher</t>
  </si>
  <si>
    <t>Inspection</t>
  </si>
  <si>
    <t>berry2011aocActors</t>
  </si>
  <si>
    <t>In the study: the flight plan sets the cruise altitude, speed and fuel load each aircraft has when the conflict occurs.</t>
  </si>
  <si>
    <t>AOC decision support; Load planner</t>
  </si>
  <si>
    <t>Analysis</t>
  </si>
  <si>
    <t>mori2022massCruise</t>
  </si>
  <si>
    <t>The owner struck 'the planned take-off weight' (hand review 2026-10-10). In the study: the cost-optimal altitude depends on mass (mori2022massCruise, Figure 1), which is why two aircraft of one type can want different levels. Owner (hand review 2026-10-11): the next tier can hold several requirements under this one, one per customer or way of computing it: low fidelity, high fidelity, and rules of thumb per aircraft type.</t>
  </si>
  <si>
    <t>The NAS shall load each flight with fuel to reach its destination, then its most distant alternate, then fly 45 minutes at normal cruise.</t>
  </si>
  <si>
    <t>Constraint</t>
  </si>
  <si>
    <t>SN-GOV-01, SN-PAX-01</t>
  </si>
  <si>
    <t>fuel remaining after destination and alternate (minutes at normal cruise). Value: 45</t>
  </si>
  <si>
    <t>14 CFR 121.639</t>
  </si>
  <si>
    <t>The owner asked whether this is relevant for the weight assumptions. It is: the fuel load is part of the take-off weight, and the reserve sets the least fuel, and so the least weight, an aircraft can have in cruise. Owner (hand review 2026-10-11): it goes into the low-fidelity model's assumptions. Number and paragraph are from general knowledge; confirm against 14 CFR 121.639 before baselining.</t>
  </si>
  <si>
    <t>The NAS shall release a flight only when the dispatcher and the captain both agree that it can be flown safely as planned.</t>
  </si>
  <si>
    <t>SN-GOV-01, SN-CRW-01, SN-GOV-02</t>
  </si>
  <si>
    <t>Dispatcher; Flight deck crew</t>
  </si>
  <si>
    <t>HLR-CRW-01, HLR-OPS-04</t>
  </si>
  <si>
    <t>14 CFR 121.533</t>
  </si>
  <si>
    <t>Kept by the owner (hand review 2026-10-11). In the study: it is why a controller will issue a descent as a tactical change without negotiation and will not issue a climb. There is no question that a descent can be achieved. A climb is different: the released plan vouches for the planned level and nothing above it. That is the reasoning behind the rule of thumb (owner, 2026-10-11; 'DES' in the hand note is descent).</t>
  </si>
  <si>
    <t>The NAS shall file each flight plan with air traffic control before the flight departs.</t>
  </si>
  <si>
    <t>Interface</t>
  </si>
  <si>
    <t>SN-ATC-01, SN-ATC-02, SN-ATC-03</t>
  </si>
  <si>
    <t>Dispatcher; Air traffic control</t>
  </si>
  <si>
    <t>faa2025aim; faa2025jo72103ee</t>
  </si>
  <si>
    <t>In the study: the filed plan is the only statement of the airline's intent the controller has today, so it is the baseline that the proposed data share adds to. No lead time is set; the summary of faa2025aim records a 45 to 46 minute point before departure after which a filed plan is locked.</t>
  </si>
  <si>
    <t>The NAS shall deliver the dispatch release, flight plan, weather, notices to airmen (NOTAMs) and load sheet to the flight crew before departure.</t>
  </si>
  <si>
    <t>SN-CRW-07, SN-CRW-02</t>
  </si>
  <si>
    <t>Dispatcher; Load planner</t>
  </si>
  <si>
    <t>HLR-CRW-05, HLR-OPS-03, HLR-APT-02</t>
  </si>
  <si>
    <t>In the study: the load sheet is how the actual weight reaches the crew and the flight management system.</t>
  </si>
  <si>
    <t>The NAS shall plan each flight to comply with the traffic management initiatives and special use airspace activations published for its time of flight.</t>
  </si>
  <si>
    <t>SN-ATC-02, SN-MIL-01</t>
  </si>
  <si>
    <t>Dispatcher; AOC ATC coordinator</t>
  </si>
  <si>
    <t>Restored as out of study (D-031): the owner's hand review of 2026-10-20 keeps every stakeholder requirement of the first draft and makes the cut at the sub-system (HLR) tier. Text as on the 2026-10-10 print. Struck 2026-10-11 (crossed out): traffic management initiatives are not tactical interventions. It has no HLR: the study does not depend on it.</t>
  </si>
  <si>
    <t>The NAS shall assign to each flight a crew whose duty period, including forecast delay, stays within the limits of 14 CFR Part 117.</t>
  </si>
  <si>
    <t>SN-CRW-05, SN-GOV-01</t>
  </si>
  <si>
    <t>Crew scheduler</t>
  </si>
  <si>
    <t>Restored as out of study (D-031): the owner's hand review of 2026-10-20 keeps every stakeholder requirement of the first draft and makes the cut at the sub-system (HLR) tier. Text as on the 2026-10-10 print. Struck 2026-10-10: 'Not important to project.' It has no HLR: the study does not depend on it.</t>
  </si>
  <si>
    <t>Traffic flow management</t>
  </si>
  <si>
    <t>The NAS shall let an airline exchange its own flights among the departure slots it has been assigned.</t>
  </si>
  <si>
    <t>Command Center (ATCSCC); AOC ATC coordinator</t>
  </si>
  <si>
    <t>Demonstration</t>
  </si>
  <si>
    <t>Restored as out of study (D-031): the owner's hand review of 2026-10-20 keeps every stakeholder requirement of the first draft and makes the cut at the sub-system (HLR) tier. Text as on the 2026-10-10 print. Struck 2026-10-10 with the whole traffic flow management section: 'TMIs aren't what I'm studying.' It has no HLR: the study does not depend on it.</t>
  </si>
  <si>
    <t>The NAS shall assign the delay created by a traffic management initiative equitably among all airspace users.</t>
  </si>
  <si>
    <t>Performance</t>
  </si>
  <si>
    <t>Command Center (ATCSCC)</t>
  </si>
  <si>
    <t>assigned delay per flight, compared across airlines (minutes)</t>
  </si>
  <si>
    <t>The NAS shall release each flight that has an expect departure clearance time (EDCT) within the permitted window around that time.</t>
  </si>
  <si>
    <t>SN-ATC-02, SN-ATC-03</t>
  </si>
  <si>
    <t>Control tower; Flight deck crew</t>
  </si>
  <si>
    <t>actual departure time minus EDCT (minutes)</t>
  </si>
  <si>
    <t>Restored as out of study (D-031): the owner's hand review of 2026-10-20 keeps every stakeholder requirement of the first draft and makes the cut at the sub-system (HLR) tier. Text as on the 2026-10-10 print. Struck 2026-10-10 (crossed out). It has no HLR: the study does not depend on it.</t>
  </si>
  <si>
    <t>The NAS shall give traffic flow managers and airlines the activation schedule of special use airspace before the affected flight plans are filed.</t>
  </si>
  <si>
    <t>SN-MIL-01, SN-AIR-03</t>
  </si>
  <si>
    <t>Clearance, separation and tactical trajectory change</t>
  </si>
  <si>
    <t>The NAS shall keep each pair of controlled aircraft separated by at least the minimum that JO 7110.65BB sets for the airspace they are in.</t>
  </si>
  <si>
    <t>SN-ATC-01, SN-CRW-06, SN-PAX-01</t>
  </si>
  <si>
    <t>Air traffic control; En-route center (ARTCC); Terminal approach control (TRACON)</t>
  </si>
  <si>
    <t>HLR-ATC-01, HLR-ATC-04, HLR-ACF-06</t>
  </si>
  <si>
    <t>lateral and vertical distance between each pair of aircraft (NM and ft)</t>
  </si>
  <si>
    <t>In the study: the hard constraint every resolution option must meet; it is not traded (knowledge/models/experiment-definition.md section 6). For en-route radar the minimum is commonly 5 NM or 1,000 ft; those numbers are from general knowledge and are left out of the threshold until the paragraph is confirmed.</t>
  </si>
  <si>
    <t>The NAS shall predict a loss of separation between controlled aircraft before it occurs.</t>
  </si>
  <si>
    <t>SN-ATC-01, SN-CRW-06</t>
  </si>
  <si>
    <t>ATC decision support</t>
  </si>
  <si>
    <t>HLR-ATC-02, HLR-ACF-06</t>
  </si>
  <si>
    <t>In the study: the conflict has to be predicted before any option can be chosen. No look-ahead time is set; engility2014tasarAlaska page 9 uses an eight-minute probe in its own model, which is a candidate.</t>
  </si>
  <si>
    <t>The NAS shall give the controlling facility the position, altitude and identity of each controlled aircraft.</t>
  </si>
  <si>
    <t>SN-ATC-01, SN-ATC-03</t>
  </si>
  <si>
    <t>Aircraft surveillance system; Air traffic control</t>
  </si>
  <si>
    <t>Restored as out of study (D-031): the owner's hand review of 2026-10-20 keeps every stakeholder requirement of the first draft and makes the cut at the sub-system (HLR) tier. Text as on the 2026-10-10 print. Struck 2026-10-10: 'of course. Not relevant to project.' It has no HLR: the study does not depend on it.</t>
  </si>
  <si>
    <t>The NAS shall provide a two-way communication path from the flight crew to the controlling facility and to the dispatcher for the whole flight.</t>
  </si>
  <si>
    <t>SN-CRW-08, SN-AIR-03</t>
  </si>
  <si>
    <t>Aircraft communication system; Air traffic control; Dispatcher</t>
  </si>
  <si>
    <t>HLR-CRW-04, HLR-OPS-06, HLR-ACF-04</t>
  </si>
  <si>
    <t>'Dispatcher too' was added by the owner (hand review 2026-10-10). In the study: the clearance, the crew's 'unable' and any crew request cross this path. It was a derived requirement in the first draft; it now answers SN-CRW-08. 'Of controlled' was struck by the owner (hand review 2026-10-11). It also answers SN-AIR-03: the crew and the dispatchers are the ones who coordinate so that the airline is informed (owner, 2026-10-11).</t>
  </si>
  <si>
    <t>The NAS shall change a controlled aircraft's cleared route, altitude or speed only by a clearance from the facility that has control of that aircraft.</t>
  </si>
  <si>
    <t>SN-GOV-02, SN-ATC-01</t>
  </si>
  <si>
    <t>Restored as out of study (D-031): the owner's hand review of 2026-10-20 keeps every stakeholder requirement of the first draft and makes the cut at the sub-system (HLR) tier. Text as on the 2026-10-10 print. Struck 2026-10-10: 'Not relevant to project.' It has no HLR: the study does not depend on it.</t>
  </si>
  <si>
    <t>The NAS shall allow the captain to deviate from a clearance when safety requires it, with air traffic control told as soon as practical.</t>
  </si>
  <si>
    <t>SN-GOV-01, SN-CRW-01, SN-PAX-01</t>
  </si>
  <si>
    <t>Flight deck crew</t>
  </si>
  <si>
    <t>14 CFR 91.3. In the study: the owner asks whether leaving the choice to the crew, with a response delay, should be one of the experiment's options. Open.</t>
  </si>
  <si>
    <t>The NAS shall answer each flight crew request for a route, altitude or speed change with an approval, an amended clearance or a refusal.</t>
  </si>
  <si>
    <t>SN-AIR-01, SN-CRW-04, SN-PAX-03</t>
  </si>
  <si>
    <t>Air traffic control; Flight deck crew</t>
  </si>
  <si>
    <t>HLR-CRW-03, HLR-ATC-07</t>
  </si>
  <si>
    <t>The owner asked what its relevance is. In the study: a crew request is the only way today that what the aircraft knows about its own weight and best altitude reaches the controller, so it is the baseline counterpart of the proposed data share. Left standing in the second review.</t>
  </si>
  <si>
    <t>The NAS shall issue only clearances that the aircraft can fly.</t>
  </si>
  <si>
    <t>improved</t>
  </si>
  <si>
    <t>HLR-CRW-02, HLR-ATC-04</t>
  </si>
  <si>
    <t>coppenbarger1999climbPrediction; engility2014tasarAlaska</t>
  </si>
  <si>
    <t>The owner struck 'at its current weight': weight is not required, but it helps when it is included in the model behind a decision aid. Not fully met today: the ground system assumes one nominal weight per aircraft type (coppenbarger1999climbPrediction), and the crew answers 'unable' when a clearance cannot be flown. The rule in D-013 (offer a climb only at or below FL350) stands in for the missing knowledge. Kept as improved (D-018); left standing in the second review.</t>
  </si>
  <si>
    <t>The NAS should choose, among the maneuvers that restore separation, the one with the lowest impact on the aircraft involved.</t>
  </si>
  <si>
    <t>Performance (goal)</t>
  </si>
  <si>
    <t>SN-AIR-05, SN-ENV-01</t>
  </si>
  <si>
    <t>ATC decision support; Air traffic control</t>
  </si>
  <si>
    <t>TBD</t>
  </si>
  <si>
    <t>schultz2012adaptiveClimb; mori2022massCruise; kirwan2001coraStrategies</t>
  </si>
  <si>
    <t>A goal, not a requirement (owner, hand review 2026-10-10). Re-worded by the owner on 2026-10-11: 'impact' replaces 'combined cost' because it is generic and leaves what counts to each controller, and 'with the same number of control instructions' is struck. The held sources agree it is not a duty: the controller's aim is to separate aircraft 'first safely, and then expeditiously' (kirwan2001coraStrategies, p. 4). Not pursued today, because the deciding party lacks the information in SLR-INF-02. In the study: the experiment has to pick one measure of impact to score with; it uses fuel cost plus cost index times time (mori2022massCruise), which is the experiment's choice and not part of this goal. Owner (hand review 2026-10-20): the measure is 'TBD', so the Measure is left TBD here; the experiment's scoring choice stays on HLR-ATC-05.</t>
  </si>
  <si>
    <t>The NAS shall keep civil aircraft out of special use airspace while it is active, unless the using agency releases it.</t>
  </si>
  <si>
    <t>Restored as out of study (D-031): the owner's hand review of 2026-10-20 keeps every stakeholder requirement of the first draft and makes the cut at the sub-system (HLR) tier. Text as on the 2026-10-10 print. Struck 2026-10-10: 'Not Relevant.' It has no HLR: the study does not depend on it.</t>
  </si>
  <si>
    <t>instructions issued plus follow-up instructions, per conflict (count)</t>
  </si>
  <si>
    <t>New, proposed by Claude on 2026-10-11 so that the restored SN-ATC-04 has an answer; not written by the owner. It replaces the struck goal SLR-CLR-12 (fewest instructions), which the owner rejected: instruction count is not a safety objective, and a controller who is not overworked can give as many as wanted. So the count is a ceiling. No ceiling is set, because no held source gives one. In the study: the experiment's workload column (instructions issued plus follow-ups). Accepted by the owner as worded ('ok', hand review 2026-10-20).</t>
  </si>
  <si>
    <t>Information for trajectory decisions</t>
  </si>
  <si>
    <t>The NAS shall give the sector controller the filed route, requested altitude and requested speed of each aircraft before it enters the sector.</t>
  </si>
  <si>
    <t>Air traffic control; En-route center (ARTCC)</t>
  </si>
  <si>
    <t>In the study: this is what the controller knows about each aircraft today (case A of the experiment). Owner (hand review 2026-10-20), on 'sector controller': 'modeled?' Not as its own part: airspaceManagement.atc stands for the controllers, and the allocation names it and the en-route center. Open question.</t>
  </si>
  <si>
    <t>The NAS shall give the party that decides a change to an aircraft's trajectory the information needed to preserve safety and pursue optimality.</t>
  </si>
  <si>
    <t>SN-AIR-05, SN-CRW-03</t>
  </si>
  <si>
    <t>Flight management system; Airline operations center; ATC decision support; Air traffic control</t>
  </si>
  <si>
    <t>HLR-OPS-05, HLR-ATC-08, HLR-ACF-05</t>
  </si>
  <si>
    <t>schultz2012adaptiveClimb; coppenbarger1999climbPrediction; sheth2010creditsConcept</t>
  </si>
  <si>
    <t>Owner's wording (hand review 2026-10-10). It replaces three statements that named gross weight, cost index and connection priority one at a time (the first draft's SLR-INF-02, SLR-INF-03 and SLR-INF-04); the owner judged them implied. Those three items are the attributes of AirlinePerformanceShare in nas_sysml_package_definitions.sysml (D-019) and are where the next tier of requirements starts. Not met today: the controller does not receive weight or cost index (schultz2012adaptiveClimb, page 2). Cases C and D of the experiment.</t>
  </si>
  <si>
    <t>The NAS shall disclose an airline's shared weight, cost index and connection priority only to the parties deciding that flight's trajectory.</t>
  </si>
  <si>
    <t>Air traffic control; Command Center (ATCSCC)</t>
  </si>
  <si>
    <t>Restored as out of study (D-031): the owner's hand review of 2026-10-20 keeps every stakeholder requirement of the first draft and makes the cut at the sub-system (HLR) tier. Text as on the 2026-10-10 print. Struck 2026-10-10: 'Maybe not needed if exposed as API.' Carried as an assumption (D-020 item 4). It has no HLR: the study does not depend on it.</t>
  </si>
  <si>
    <t>The NAS shall give the dispatcher and the flight crew the reported and forecast weather and turbulence along the planned route.</t>
  </si>
  <si>
    <t>SN-PAX-03, SN-CRW-02</t>
  </si>
  <si>
    <t>Airline operations center; Flight deck crew</t>
  </si>
  <si>
    <t>Restored as out of study (D-031): the owner's hand review of 2026-10-20 keeps every stakeholder requirement of the first draft and makes the cut at the sub-system (HLR) tier. Text as on the 2026-10-10 print. '+ weather' added by the owner 2026-10-10; struck 2026-10-11: 'Not relevant to my study. Winds &amp; weather should be factored into account by controllers, but that's not a SLR.' It has no HLR: the study does not depend on it.</t>
  </si>
  <si>
    <t>The NAS shall send the airline and the destination airport an updated arrival estimate whenever a flight's estimate changes by more than 5 minutes.</t>
  </si>
  <si>
    <t>SN-AIR-02, SN-AIR-03, SN-APT-01</t>
  </si>
  <si>
    <t>Flight management system; Flight deck crew; Airline operations center; Airport management system</t>
  </si>
  <si>
    <t>HLR-CRW-04, HLR-OPS-06</t>
  </si>
  <si>
    <t>change in estimated arrival time that triggers an update (minutes). Value: 5</t>
  </si>
  <si>
    <t>In the study: how the airline learns what a trajectory change did to the arrival time. It answers SN-AIR-03 together with SLR-CLR-04: the crew and the dispatcher coordinate over that path, and this is what they pass. The 5 minutes is the crew-to-dispatch practice in seamster2011collabSystems (survey item: notify dispatch of ETA changes greater than 5 minutes). Extending the same trigger to the airport is this draft's proposal, not the source's.</t>
  </si>
  <si>
    <t>Onboard execution</t>
  </si>
  <si>
    <t>The NAS shall hold each flight's cleared route and altitudes in the flight management system as the path the aircraft's guidance follows.</t>
  </si>
  <si>
    <t>Flight management system</t>
  </si>
  <si>
    <t>Restored as out of study (D-031): the owner's hand review of 2026-10-20 keeps every stakeholder requirement of the first draft and makes the cut at the sub-system (HLR) tier. Text as on the 2026-10-10 print. Struck 2026-10-10: 'why needed?' It has no HLR: the study does not depend on it.</t>
  </si>
  <si>
    <t>The NAS shall fly each aircraft along its cleared route and at its cleared altitude and speed within the navigation and altitude tolerances of the airspace.</t>
  </si>
  <si>
    <t>Auto flight control system; Flight management system</t>
  </si>
  <si>
    <t>HLR-CRW-01, HLR-ATC-01, HLR-ACF-02</t>
  </si>
  <si>
    <t>cross-track distance from the cleared route; difference from the cleared altitude (NM and ft)</t>
  </si>
  <si>
    <t>Owner (hand review 2026-10-10): this has to be accounted for in the separation requirements. In the study: how far an aircraft may stray from its clearance is part of the margin a resolution must leave. 'And speed' was added by the owner (hand review 2026-10-11); no speed tolerance is named yet. No tolerance is set; it depends on the navigation specification of the route, which the scenario has not chosen.</t>
  </si>
  <si>
    <t>The NAS shall predict each flight's arrival time, fuel at destination, optimum altitude and maximum altitude from the aircraft's estimated performance.</t>
  </si>
  <si>
    <t>SN-AIR-01, SN-CRW-03</t>
  </si>
  <si>
    <t>Flight management system; AOC decision support</t>
  </si>
  <si>
    <t>HLR-CRW-03, HLR-CRW-05, HLR-ACF-01, HLR-ACF-05</t>
  </si>
  <si>
    <t>'Estimated performance' is the owner's wording. 'On board' was struck by the owner (hand review 2026-10-11: 'Why on-board? This info is what factors into the FL350 number'): the prediction matters wherever it is made, and it is what sits behind the rule in D-013 that a climb is offered only at or below FL350. On board it is the item FmsPerformancePrediction in nas_sysml_package_definitions.sysml. The airline's flight planning system was added to the allocation by Claude for the same reason.</t>
  </si>
  <si>
    <t>The NAS shall change an aircraft's flown trajectory only through flight deck controls operated by the flight crew.</t>
  </si>
  <si>
    <t>SN-CRW-01, SN-GOV-02</t>
  </si>
  <si>
    <t>Flight deck controls; Flight deck crew</t>
  </si>
  <si>
    <t>Restored as out of study (D-031): the owner's hand review of 2026-10-20 keeps every stakeholder requirement of the first draft and makes the cut at the sub-system (HLR) tier. Text as on the 2026-10-10 print. Struck 2026-10-10: 'of course. Why needed?' It has no HLR: the study does not depend on it.</t>
  </si>
  <si>
    <t>The NAS shall alert the flight crew, dispatchers and controllers when the fuel predicted at the destination falls below the required reserve.</t>
  </si>
  <si>
    <t>SN-GOV-01, SN-CRW-03, SN-PAX-01, SN-CRW-02</t>
  </si>
  <si>
    <t>Flight management system; Dispatcher; Air traffic control</t>
  </si>
  <si>
    <t>HLR-CRW-04, HLR-OPS-06, HLR-ACF-03</t>
  </si>
  <si>
    <t>'Dispatchers and controllers' was added by the owner (hand review 2026-10-11). In the study: fuel at the destination is a limit on which resolution an aircraft can accept. The dispatcher and air traffic control were added to the allocation by Claude to match. Whether a controller is alerted this way today was not checked against a source, so the baseline tag is unconfirmed.</t>
  </si>
  <si>
    <t>Airport and surface</t>
  </si>
  <si>
    <t>The NAS shall assign each arriving flight a gate before it lands.</t>
  </si>
  <si>
    <t>SN-APT-01, SN-AIR-02</t>
  </si>
  <si>
    <t>Airport management system</t>
  </si>
  <si>
    <t>Restored as out of study (D-031): the owner's hand review of 2026-10-20 keeps every stakeholder requirement of the first draft and makes the cut at the sub-system (HLR) tier. Text as on the 2026-10-10 print. Struck 2026-10-10: 'Not relevant'. It has no HLR: the study does not depend on it.</t>
  </si>
  <si>
    <t>The NAS shall sequence arrivals and departures so that each runway is used at its declared capacity whenever demand is at or above that rate.</t>
  </si>
  <si>
    <t>SN-APT-02, SN-ATC-02</t>
  </si>
  <si>
    <t>Terminal approach control (TRACON); Control tower</t>
  </si>
  <si>
    <t>runway operations per hour against the declared rate (operations per hour)</t>
  </si>
  <si>
    <t>Restored as out of study (D-031): the owner's hand review of 2026-10-20 keeps every stakeholder requirement of the first draft and makes the cut at the sub-system (HLR) tier. Text as on the 2026-10-10 print. 'Capacity' for 'rate' by the owner 2026-10-10 ('Not necessary... but informs prioritization decisions'); struck 2026-10-11: 'Remove.' It has no HLR: the study does not depend on it.</t>
  </si>
  <si>
    <t>The NAS shall hold a flight that has a known departure delay at its gate with engines off, not in a taxiway queue.</t>
  </si>
  <si>
    <t>SN-APT-03, SN-ENV-01</t>
  </si>
  <si>
    <t>Control tower; Airline operations center</t>
  </si>
  <si>
    <t>Restored as out of study (D-031): the owner's hand review of 2026-10-20 keeps every stakeholder requirement of the first draft and makes the cut at the sub-system (HLR) tier. Text as on the 2026-10-10 print. Struck 2026-10-10: 'I didn't list this, as the SME. Ground delay isn't my focus!' It has no HLR: the study does not depend on it.</t>
  </si>
  <si>
    <t>Ground handling; Fuel distribution system; Flight deck crew</t>
  </si>
  <si>
    <t>HLR-APT-01, HLR-APT-02</t>
  </si>
  <si>
    <t>actual off-block time minus scheduled off-block time (minutes)</t>
  </si>
  <si>
    <t>schultz2017turnaround</t>
  </si>
  <si>
    <t>Owner (hand review 2026-10-10): this speaks to the unknowns in weights and to when the information is available. The final weight is known only when loading ends. 'Sealed' replaces 'closed up' (owner).</t>
  </si>
  <si>
    <t>The NAS shall assign departure and arrival procedures that follow the airport's published noise abatement procedures.</t>
  </si>
  <si>
    <t>Control tower; Terminal approach control (TRACON); Dispatcher</t>
  </si>
  <si>
    <t>Restored as out of study (D-031): the owner's hand review of 2026-10-20 keeps every stakeholder requirement of the first draft and makes the cut at the sub-system (HLR) tier. Text as on the 2026-10-10 print. Struck 2026-10-10: 'Not needed.' It has no HLR: the study does not depend on it.</t>
  </si>
  <si>
    <t>Measurement and records</t>
  </si>
  <si>
    <t>The NAS shall record each change to an aircraft's trajectory, to its clearance, or to the constraints imposed on it, with the authority that issued it and the time.</t>
  </si>
  <si>
    <t>SN-GOV-01, SN-GOV-02</t>
  </si>
  <si>
    <t>Dispatcher; Air traffic control; Command Center (ATCSCC)</t>
  </si>
  <si>
    <t>Re-worded from the owner's note (hand review 2026-10-10) and left standing in the second review. In the study: the record is what lets a resolution be scored after the fact.</t>
  </si>
  <si>
    <t>The NAS shall report the fuel burned and the CO2 emitted by each flight, at 3.16 kg of CO2 per kg of fuel.</t>
  </si>
  <si>
    <t>SN-ENV-01, SN-AIR-01</t>
  </si>
  <si>
    <t>Flight management system; Airline operations center</t>
  </si>
  <si>
    <t>CO2 emitted per kg of fuel burned (kg CO2 per kg fuel). Value: 3.16</t>
  </si>
  <si>
    <t>In the study: the experiment's fuel column, and the CO2 figure derived from it. icao2024icecMethodology page 6, accepted in D-015. The number is a conversion factor, not a limit.</t>
  </si>
  <si>
    <t>The NAS shall report each flight's gate arrival time against its scheduled arrival time.</t>
  </si>
  <si>
    <t>SN-AIR-02, SN-PAX-02</t>
  </si>
  <si>
    <t>Airline operations center</t>
  </si>
  <si>
    <t>gate arrival time minus scheduled arrival time (minutes)</t>
  </si>
  <si>
    <t>Restored as out of study (D-031): the owner's hand review of 2026-10-20 keeps every stakeholder requirement of the first draft and makes the cut at the sub-system (HLR) tier. Text as on the 2026-10-10 print. Struck 2026-10-10: 'Relevance?' It has no HLR: the study does not depend on it.</t>
  </si>
  <si>
    <t>The NAS shall report the delay each flight received from traffic management initiatives, by airline.</t>
  </si>
  <si>
    <t>assigned delay per flight (minutes)</t>
  </si>
  <si>
    <t>Restored as out of study (D-031): the owner's hand review of 2026-10-20 keeps every stakeholder requirement of the first draft and makes the cut at the sub-system (HLR) tier. Text as on the 2026-10-10 print. Struck 2026-10-10 with no mark: it existed only so SLR-FLW-05 could be checked. It has no HLR: the study does not depend on it.</t>
  </si>
  <si>
    <t>Constituent system</t>
  </si>
  <si>
    <t>Objective</t>
  </si>
  <si>
    <t>Comes from</t>
  </si>
  <si>
    <t>Allocated to</t>
  </si>
  <si>
    <t>Means</t>
  </si>
  <si>
    <t>The flight crew shall safely control the flight from origin to destination, as cleared by air traffic control with or without negotiation, and in collaboration with flight operations.</t>
  </si>
  <si>
    <t>The aircraft flies the trajectory that was cleared, and only that one, unless safety requires otherwise.</t>
  </si>
  <si>
    <t>SLR-EXE-02, SLR-CLR-08, SLR-PLN-05</t>
  </si>
  <si>
    <t>The owner's sentence (2026-10-11), with 'cleared by' for 'cleared with'. In the study: whatever resolution is chosen, it takes effect only when the crew flies it.</t>
  </si>
  <si>
    <t>No clearance the aircraft cannot fly is flown.</t>
  </si>
  <si>
    <t>In the study: this is how today's NAS catches a climb the aircraft is too heavy for. It costs a refused clearance and a second one, which the experiment counts as extra instructions.</t>
  </si>
  <si>
    <t>The flight crew shall ask air traffic control for a change of route, altitude or speed when the crew deems it beneficial, optionally in collaboration with the dispatcher.</t>
  </si>
  <si>
    <t>What the aircraft knows about its own best altitude and speed reaches the controller.</t>
  </si>
  <si>
    <t>SLR-CLR-09, SLR-EXE-03</t>
  </si>
  <si>
    <t>In the study: a crew request is the only channel for this knowledge today, so it is what the proposed data share is compared with. Owner (hand review 2026-10-20): 'Why call out FMS?' The trigger is now the crew's judgement, optionally with dispatch (owner's words).</t>
  </si>
  <si>
    <t>The flight crew shall tell the dispatcher of each change to the cleared trajectory.</t>
  </si>
  <si>
    <t>The airline learns of a tactical intervention in time to re-plan.</t>
  </si>
  <si>
    <t>SLR-INF-07, SLR-EXE-06, SLR-CLR-04</t>
  </si>
  <si>
    <t>Owner (2026-10-11): the crew and the dispatchers are the ones who have to coordinate for the airline to be informed (SN-AIR-03). Owner (hand review 2026-10-20) struck the trigger (arrival time moved by more than 5 minutes, or fuel at the destination below the reserve) and ended the sentence: 'Period?' The 5-minute trigger stays on the parent SLR-INF-07 (seamster2011collabSystems). In the study: this is how the cost of a resolution becomes known to the airline that bears it.</t>
  </si>
  <si>
    <t>The flight crew shall enter the load sheet weights and the released cost index into the flight management system before departure.</t>
  </si>
  <si>
    <t>The flight management system predicts from the weight the aircraft actually has.</t>
  </si>
  <si>
    <t>SLR-PLN-07, SLR-EXE-03</t>
  </si>
  <si>
    <t>Graded [SME] for the owner to confirm from industry experience. In the study: the actual weight exists on board because the crew puts it there; it is the figure the high-fidelity means would share. Owner (hand review 2026-10-20): 'EPP gives weight, if available. Dispatch has final fuel numbers, I believe, and planned burn.' That is, the ADS-C extended projected profile can carry the weight to the ground, and the dispatcher already holds the final fuel figures and the planned burn, so the weight need not come only from the crew's entry.</t>
  </si>
  <si>
    <t>Flight operations</t>
  </si>
  <si>
    <t>Flight operations shall plan each flight's route, cruise altitude, cruise speed and fuel load from a model of the performance of the aircraft assigned to it, with the fuel reserve the operating rules require.</t>
  </si>
  <si>
    <t>Each aircraft enters cruise at an altitude, speed and weight chosen for that aircraft.</t>
  </si>
  <si>
    <t>SLR-PLN-01, SLR-PLN-02, SLR-PLN-04</t>
  </si>
  <si>
    <t>AOC decision support; Dispatcher; Load planner</t>
  </si>
  <si>
    <t>rule of thumb (A); low-fidelity model (B); high-fidelity model (C)</t>
  </si>
  <si>
    <t>mori2022massCruise; berry2011aocActors</t>
  </si>
  <si>
    <t>Owner (hand review 2026-10-11): the performance model can be a rule of thumb per aircraft type, a low-fidelity model or a high-fidelity model, and the fuel reserve goes into the low-fidelity model's assumptions. The three are listed as means. The experiment does not score them here: it takes each aircraft's plan as given. In the study: the plan sets the level, speed and weight each aircraft has when the conflict occurs.</t>
  </si>
  <si>
    <t>The controller has the airline's intended route, altitude and speed.</t>
  </si>
  <si>
    <t>In the study: the filed plan is all the controller knows of the airline's intent today. It is what the rule of thumb and the low-fidelity means decide with.</t>
  </si>
  <si>
    <t>The crew and the flight management system start from the plan and the actual weights.</t>
  </si>
  <si>
    <t>In the study: the load sheet is where the actual weight enters the aircraft.</t>
  </si>
  <si>
    <t>The planned cruise level is one the dispatcher and the captain have both agreed the aircraft can fly.</t>
  </si>
  <si>
    <t>Owner (2026-10-11): there is no question that a descent can be achieved; a climb is different, and the joint release is what leads to that conclusion in the rule-of-thumb case. The released plan vouches for the planned level and below, and for nothing above it. In the study: this is the reason the rule of thumb descends and does not climb.</t>
  </si>
  <si>
    <t>Flight operations shall make each flight's current gross weight, performance model, relative cost of flight time and connection priority available to the party that decides a change to that flight's trajectory.</t>
  </si>
  <si>
    <t>The party deciding can tell what each aircraft can fly and what a change costs its airline.</t>
  </si>
  <si>
    <t>The three items the first draft listed one at a time and SLR-INF-02 absorbed. They are the attributes of AirlinePerformanceShare in nas_sysml_package_definitions.sysml (D-019). Not done today (schultz2012adaptiveClimb, page 2). In the study: this is what separates the high-fidelity means (weight and cost index, case C; plus connection priority, case D) from the other two. Confidentiality is an assumption (D-020). Owner (hand review 2026-10-20): 'Also it's performance model. Abstract from CI &amp; talk about a measure of the relative cost of flight time?' Cost index is one such measure. AirlinePerformanceShare still names costIndex and carries the model references unexercised (D-019); it was not changed. Applied from a question on the owner's hand review of 2026-10-20; for the owner to confirm (D-031).</t>
  </si>
  <si>
    <t>The dispatcher shall re-plan the flight with its crew when a trajectory change puts the arrival time, the fuel at the destination or flight safety at risk.</t>
  </si>
  <si>
    <t>A tactical intervention is absorbed by the airline's plan and not only by the one flight.</t>
  </si>
  <si>
    <t>SLR-CLR-04, SLR-INF-07, SLR-EXE-06</t>
  </si>
  <si>
    <t>The dispatcher's half of the coordination the owner named for SN-AIR-03 (2026-10-11); HLR-CRW-04 is the crew's half. In the study: context for case D, where a late flight with connections is the reason one aircraft's time is worth more than its fuel. 'Or flight safety' added by the owner (hand review 2026-10-20).</t>
  </si>
  <si>
    <t>The fuel and CO2 effect of a trajectory change can be counted.</t>
  </si>
  <si>
    <t>In the study: the experiment's fuel column and the CO2 figure derived from it (D-015).</t>
  </si>
  <si>
    <t>Air traffic control shall keep each pair of aircraft it controls separated by at least the applicable minimum, allowing for each aircraft's permitted deviation from its cleared route, altitude and speed.</t>
  </si>
  <si>
    <t>No loss of separation.</t>
  </si>
  <si>
    <t>SLR-CLR-01, SLR-EXE-02</t>
  </si>
  <si>
    <t>Owner (hand review 2026-10-10): conformance has to be accounted for in the separation requirements. In the study: the hard constraint on every resolution option, whichever means chooses it.</t>
  </si>
  <si>
    <t>The controller has time to choose a resolution and not only to react.</t>
  </si>
  <si>
    <t>In the study: the starting event of the experiment. No look-ahead time is set; engility2014tasarAlaska page 9 uses eight minutes in its own model.</t>
  </si>
  <si>
    <t>The controller knows where each aircraft intends to go.</t>
  </si>
  <si>
    <t>En-route center (ARTCC)</t>
  </si>
  <si>
    <t>In the study: together with type, level and speed, this is the whole of 'today's information' that the rule of thumb decides with (case A). 'Inform ... of' for 'show' by the owner (hand review 2026-10-20).</t>
  </si>
  <si>
    <t>Air traffic control shall resolve each predicted conflict with a clearance that every aircraft it moves can fly.</t>
  </si>
  <si>
    <t>The conflict is resolved by the first clearance issued, with no 'unable' and no second attempt.</t>
  </si>
  <si>
    <t>SLR-CLR-10, SLR-CLR-01</t>
  </si>
  <si>
    <t>Air traffic control; ATC decision support</t>
  </si>
  <si>
    <t>rule of thumb (A); low-fidelity model (B); high-fidelity model (C); high-fidelity model plus connections (D). Scored.</t>
  </si>
  <si>
    <t>whether the chosen option is flyable under the truth model (yes or no)</t>
  </si>
  <si>
    <t>Four means of knowing what an aircraft can fly, scored in the experiment. Rule of thumb: descend, and offer a climb only at or below FL350 (D-013, from engility2014tasarAlaska page 8; the joint release in HLR-OPS-04 is why a descent is safe to assume). Low-fidelity model: one nominal weight per aircraft type (coppenbarger1999climbPrediction). High-fidelity model: each aircraft's own weight, shared under HLR-OPS-05. The fourth adds connection priority, which does not change what can be flown. The truth model's thrust check (NasAnalysis::CanHoldLevel) says whether the option each means chose was flyable.</t>
  </si>
  <si>
    <t>Air traffic control should choose, among the clearances that resolve a conflict and can be flown, the one with the lowest impact on the systems involved.</t>
  </si>
  <si>
    <t>Lowest impact on the systems involved. The experiment scores impact as fuel burned and as airline cost (fuel cost plus cost index times time), per aircraft and summed.</t>
  </si>
  <si>
    <t>fuel burned and airline cost, per aircraft and summed over the aircraft involved (kg and USD per conflict)</t>
  </si>
  <si>
    <t>A goal, like its parent SLR-CLR-13. Four means of judging impact, scored in the experiment. Rule of thumb: one descent, by the controller's rule (rantanen2012conflictManeuvers: 23 of 36 observed cases). Low-fidelity model: lowest estimated cost with one nominal weight per type, which cannot tell two aircraft of one type apart. High-fidelity model: lowest estimated cost with each aircraft's own weight and cost index. High-fidelity model plus connections: the same, with the airline's connection priority. One truth model scores what each means chose. Owner (hand review 2026-10-20) circled 'aircraft': 'systems?' The parent SLR-CLR-13 still says 'the aircraft involved'. Applied from a question on the owner's hand review of 2026-10-20; for the owner to confirm (D-031).</t>
  </si>
  <si>
    <t>Controller workload stays under its ceiling whichever means chooses the resolution.</t>
  </si>
  <si>
    <t>No ceiling is set, as on the parent SLR-CLR-15, so the experiment reports the count for each means and does not pass or fail it. In the study: the experiment's workload column, which is how a cheaper resolution that takes more instructions is shown for what it is.</t>
  </si>
  <si>
    <t>A crew request is never left open.</t>
  </si>
  <si>
    <t>faa2025jo711065bb; engility2014tasarAlaska</t>
  </si>
  <si>
    <t>JO 7110.65BB paragraph 2-1-18, as recorded in evidence/literature-notes/summaries/5 - faa2025jo711065bb.md (which also allows 'stand by'). In the study: the controller's half of the request channel in HLR-CRW-03. Owner (hand review 2026-10-20): 'Confirm ATC unable. I think it's actually deny/negative.' Checked against the summary only: 2-1-18 lists '(request) APPROVED', approved with restrictions, 'UNABLE' (with a reason if time permits) and 'STAND BY'. 'Unable' is kept; the order itself was not re-read.</t>
  </si>
  <si>
    <t>ATC decision support shall use the best information available to it about each flight, including the gross weight, performance model, relative cost of flight time and connection priority the airline has shared, to judge which clearances the aircraft can fly and what each costs.</t>
  </si>
  <si>
    <t>The shared information changes the decision and does not only arrive.</t>
  </si>
  <si>
    <t>schultz2012adaptiveClimb; coppenbarger1999climbPrediction</t>
  </si>
  <si>
    <t>The receiving end of HLR-OPS-05 (D-019: decision support is owned by the system that decides, D-012). Not done today. In the study: the difference between case B and cases C and D. Owner (hand review 2026-10-20): 'Why not use the best information available to them?' Applied from a question on the owner's hand review of 2026-10-20; for the owner to confirm (D-031).</t>
  </si>
  <si>
    <t>A resolution can be examined after the fact.</t>
  </si>
  <si>
    <t>In the study: the record is what a real-world version of the experiment's instruction count would be taken from.</t>
  </si>
  <si>
    <t>Aircraft</t>
  </si>
  <si>
    <t>The aircraft knows what it can fly and what is best for it.</t>
  </si>
  <si>
    <t>Graded [SME]. The item FmsPerformancePrediction in nas_sysml_package_definitions.sysml. In the study: the on-board high-fidelity model. Its maximum altitude is the answer the rule of thumb replaces with 'at or below FL350'.</t>
  </si>
  <si>
    <t>The aircraft is where its clearance says it is.</t>
  </si>
  <si>
    <t>cross-track distance from the cleared route; difference from the cleared altitude and speed (NM, ft and Mach)</t>
  </si>
  <si>
    <t>Graded [SME]. No tolerance is set. In the study: the deviation HLR-ATC-01 has to allow for.</t>
  </si>
  <si>
    <t>The crew knows when a trajectory change has used up the fuel margin.</t>
  </si>
  <si>
    <t>Graded [SME]. The parent SLR-EXE-06 also names dispatchers and controllers; they hear through the crew (HLR-CRW-04). In the study: fuel at the destination is a limit on which resolution an aircraft can accept.</t>
  </si>
  <si>
    <t>Clearances, refusals, requests and reports to the airline can all be exchanged from the flight deck.</t>
  </si>
  <si>
    <t>Aircraft communication system</t>
  </si>
  <si>
    <t>Graded [SME]. In the study: every exchange the experiment counts as an instruction crosses this link.</t>
  </si>
  <si>
    <t>The flight management system shall make its current gross weight and its predicted optimum and maximum altitudes available for sharing with the party that decides, whether through the airline's systems or air traffic control's.</t>
  </si>
  <si>
    <t>The aircraft's own figures can reach the party that decides, by whichever system carries them (HLR-OPS-05).</t>
  </si>
  <si>
    <t>SLR-INF-02, SLR-EXE-03</t>
  </si>
  <si>
    <t>Flight management system; Aircraft communication system</t>
  </si>
  <si>
    <t>The FMS-to-airline exchange named as one of the three on the thread in D-019 item 4. Whether aircraft do this today is for the owner to say [SME]; it is left as baseline because D-019 tags only the airline-to-ATC exchange as improved. In the study: the first link of the high-fidelity means. Owner (hand review 2026-10-20): 'The GW, CI &amp; perf data can come from the flight and/or dispatch or the same computer system, whether the airline's or ATC's.' Applied from a question on the owner's hand review of 2026-10-20; for the owner to confirm (D-031).</t>
  </si>
  <si>
    <t>The aircraft's surveillance system shall broadcast the aircraft's position, altitude, velocity and identity by ADS-B Out.</t>
  </si>
  <si>
    <t>The ground system and its conflict probe know where each aircraft is and where it is going.</t>
  </si>
  <si>
    <t>SLR-CLR-02, SLR-CLR-01</t>
  </si>
  <si>
    <t>Aircraft surveillance system</t>
  </si>
  <si>
    <t>14 CFR 91.225</t>
  </si>
  <si>
    <t>New. Owner (hand review 2026-10-20), beside HLR-ACF-05: 'Need one HLR for ADS-B data.' In the study: the surveillance input to ResolveConflict (ADS-B position reports, D-030) and the airspace domain's surveillanceIn port. The rule (14 CFR 91.225) is general knowledge, not yet tied to a held source. Wording is Claude's. Applied from a question on the owner's hand review of 2026-10-20; for the owner to confirm (D-031).</t>
  </si>
  <si>
    <t>Airport operations</t>
  </si>
  <si>
    <t>The flight leaves on schedule with its load complete.</t>
  </si>
  <si>
    <t>Ground handling; Fuel distribution system</t>
  </si>
  <si>
    <t>In the study: the weakest link of the five systems. It matters only because the weight is not final until loading ends.</t>
  </si>
  <si>
    <t>Airport operations shall report the fuel uplifted and the load put on board to the flight crew and the load planner before off-block.</t>
  </si>
  <si>
    <t>The weight used on board and by the airline is the weight the aircraft has.</t>
  </si>
  <si>
    <t>SLR-APT-04, SLR-PLN-07</t>
  </si>
  <si>
    <t>Fuel distribution system; Ground handling</t>
  </si>
  <si>
    <t>D-009 records the fuel slip reaching the crew from the airport fuel carrier; the load report is from general knowledge. In the study: the owner's note on SLR-APT-04, that it speaks to the unknowns in weights and to when the information is available.</t>
  </si>
  <si>
    <t>Requirements review workbook</t>
  </si>
  <si>
    <t>Generated 2026-10-22 21:42 from commit d0c723d by tools/export_requirements_xlsx.py.</t>
  </si>
  <si>
    <t>Source of truth: the .sysml files in projects/nas-sos-capstone/cameo_models/ (D-006). This workbook is a derived copy: mark it up, then apply the changes to the .sysml files and regenerate.</t>
  </si>
  <si>
    <t>Counts: 30 stakeholder requirements, 42 system requirements, 29 sub-system HLRs. The Coverage sheet counts each by scope and lists any trace gap.</t>
  </si>
  <si>
    <t>Objectives sheet: reads the other way, from each objective row of knowledge/models/stakeholder-objective-ontology.md to the stakeholder requirements that name it (attribute objectiveRefs), and on to the in-study system requirements and HLRs below them. Bold objective: carried into the study. Grey: carried only by a background or out-of-study requirement. '(no requirement)': no stakeholder requirement names it. Requirements that name no objective row are listed at the end.</t>
  </si>
  <si>
    <t>How the Decomposition sheet reads</t>
  </si>
  <si>
    <t>Left to right: stakeholder requirement (SN) -&gt; the system requirements (SLR) that answer it -&gt; the HLRs that come from each SLR. Merged cells span the rows beneath them.</t>
  </si>
  <si>
    <t>The trace is many-to-many, so an SLR that answers two stakeholder requirements appears under both, marked '(also answers ...)'. An HLR with two parents is marked '(also comes from ...)'.</t>
  </si>
  <si>
    <t>[IMPROVED] and orange fill: architectureState = improved, something today's NAS does not do (D-018). [GOAL] and italics: obligation = goal, written with 'should' (D-020).</t>
  </si>
  <si>
    <t>[OUT OF STUDY], grey fill and grey text: studyScope = outOfStudy (D-031). Every stakeholder requirement of the first draft is kept, with the system requirements that answer it; the study's cut is made at the HLR tier, so these stop at the system level with '(no HLR: not carried into the study)'. [BACKGROUND] and lilac fill: a boundary actor's requirement the study holds fixed and uses as input (the operating rules, the CO2 factor). '(no HLR: gap)' in red would be an in-study system requirement with nothing under it.</t>
  </si>
  <si>
    <t>Review status (from knowledge/models/requirements-and-traceability.md)</t>
  </si>
  <si>
    <t>In-study stakeholder and system requirements: hand-reviewed by the owner three times (D-020, D-021, D-031). Out-of-study ones: restored on 2026-10-20 from the 10-10 and 10-11 prints with the text they had when struck.</t>
  </si>
  <si>
    <t>Sub-system HLRs: Claude's draft of 2026-10-11 (D-022), hand-reviewed by the owner on 2026-10-20 (D-031). Edits applied from a question on that print say so in their rationale and await the owner's confirmation; HLR-ACF-06 is new.</t>
  </si>
  <si>
    <t>Every requirement has status = draft. Nothing is baselined.</t>
  </si>
  <si>
    <t>Objectives Addressed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</si>
</sst>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rgb="FFFFFFFF"/>
      <name val="Calibri"/>
    </font>
    <font>
      <b/>
      <sz val="11"/>
      <name val="Calibri"/>
    </font>
    <font>
      <i/>
      <sz val="11"/>
      <color rgb="FF7F7F7F"/>
      <name val="Calibri"/>
    </font>
    <font>
      <sz val="11"/>
      <color rgb="FF7F7F7F"/>
      <name val="Calibri"/>
    </font>
    <font>
      <i/>
      <sz val="11"/>
      <name val="Calibri"/>
    </font>
    <font>
      <b/>
      <sz val="13"/>
      <name val="Calibri"/>
    </font>
    <font>
      <sz val="11"/>
      <name val="Calibri"/>
    </font>
    <font>
      <b/>
      <sz val="11"/>
      <name val="Calibri"/>
    </font>
  </fonts>
  <fills count="15">
    <fill>
      <patternFill patternType="none"/>
    </fill>
    <fill>
      <patternFill patternType="gray125"/>
    </fill>
    <fill>
      <patternFill patternType="solid">
        <fgColor rgb="FF1F4E79"/>
      </patternFill>
    </fill>
    <fill>
      <patternFill patternType="solid">
        <fgColor rgb="FF375623"/>
      </patternFill>
    </fill>
    <fill>
      <patternFill patternType="solid">
        <fgColor rgb="FF7F6000"/>
      </patternFill>
    </fill>
    <fill>
      <patternFill patternType="solid">
        <fgColor rgb="FF595959"/>
      </patternFill>
    </fill>
    <fill>
      <patternFill patternType="solid">
        <fgColor rgb="FFD9D9D9"/>
      </patternFill>
    </fill>
    <fill>
      <patternFill patternType="solid">
        <fgColor rgb="FFFFF2CC"/>
      </patternFill>
    </fill>
    <fill>
      <patternFill patternType="solid">
        <fgColor rgb="FFE2EFDA"/>
      </patternFill>
    </fill>
    <fill>
      <patternFill patternType="solid">
        <fgColor rgb="FFDDEBF7"/>
      </patternFill>
    </fill>
    <fill>
      <patternFill patternType="solid">
        <fgColor rgb="FFEDEDED"/>
      </patternFill>
    </fill>
    <fill>
      <patternFill patternType="solid">
        <fgColor rgb="FFF8CBAD"/>
      </patternFill>
    </fill>
    <fill>
      <patternFill patternType="solid">
        <fgColor rgb="FFE4DFEC"/>
      </patternFill>
    </fill>
    <fill>
      <patternFill patternType="solid">
        <fgColor theme="8" tint="0.79998168889431442"/>
        <bgColor indexed="64"/>
      </patternFill>
    </fill>
    <fill>
      <patternFill patternType="solid">
        <fgColor theme="8" tint="-0.249977111117893"/>
        <bgColor indexed="64"/>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s>
  <cellStyleXfs count="1">
    <xf numFmtId="0" fontId="0" fillId="0" borderId="0"/>
  </cellStyleXfs>
  <cellXfs count="36">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2" fillId="6" borderId="1" xfId="0" applyFont="1" applyFill="1" applyBorder="1" applyAlignment="1">
      <alignment vertical="top" wrapText="1"/>
    </xf>
    <xf numFmtId="0" fontId="0" fillId="6" borderId="1" xfId="0" applyFill="1" applyBorder="1" applyAlignment="1">
      <alignment vertical="top" wrapText="1"/>
    </xf>
    <xf numFmtId="0" fontId="2" fillId="9" borderId="1" xfId="0" applyFont="1" applyFill="1" applyBorder="1" applyAlignment="1">
      <alignment vertical="top" wrapText="1"/>
    </xf>
    <xf numFmtId="0" fontId="0" fillId="9" borderId="1" xfId="0" applyFill="1" applyBorder="1" applyAlignment="1">
      <alignment vertical="top" wrapText="1"/>
    </xf>
    <xf numFmtId="0" fontId="2" fillId="8" borderId="1" xfId="0" applyFont="1" applyFill="1" applyBorder="1" applyAlignment="1">
      <alignment vertical="top" wrapText="1"/>
    </xf>
    <xf numFmtId="0" fontId="0" fillId="8" borderId="1" xfId="0" applyFill="1" applyBorder="1" applyAlignment="1">
      <alignment vertical="top" wrapText="1"/>
    </xf>
    <xf numFmtId="0" fontId="2" fillId="7" borderId="1" xfId="0" applyFont="1" applyFill="1" applyBorder="1" applyAlignment="1">
      <alignment vertical="top" wrapText="1"/>
    </xf>
    <xf numFmtId="0" fontId="0" fillId="7" borderId="1" xfId="0" applyFill="1" applyBorder="1" applyAlignment="1">
      <alignment vertical="top" wrapText="1"/>
    </xf>
    <xf numFmtId="0" fontId="0" fillId="0" borderId="1" xfId="0" applyBorder="1" applyAlignment="1">
      <alignment vertical="top" wrapText="1"/>
    </xf>
    <xf numFmtId="0" fontId="4" fillId="10" borderId="1" xfId="0" applyFont="1" applyFill="1" applyBorder="1" applyAlignment="1">
      <alignment vertical="top" wrapText="1"/>
    </xf>
    <xf numFmtId="0" fontId="3" fillId="0" borderId="1" xfId="0" applyFont="1" applyBorder="1" applyAlignment="1">
      <alignment vertical="top" wrapText="1"/>
    </xf>
    <xf numFmtId="0" fontId="5" fillId="11" borderId="1" xfId="0" applyFont="1" applyFill="1" applyBorder="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2" fillId="0" borderId="1" xfId="0" applyFont="1" applyBorder="1" applyAlignment="1">
      <alignment vertical="top" wrapText="1"/>
    </xf>
    <xf numFmtId="0" fontId="0" fillId="10" borderId="1" xfId="0" applyFill="1" applyBorder="1" applyAlignment="1">
      <alignment vertical="top" wrapText="1"/>
    </xf>
    <xf numFmtId="0" fontId="5" fillId="6" borderId="1" xfId="0" applyFont="1" applyFill="1" applyBorder="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0" fillId="8" borderId="1" xfId="0" applyFill="1" applyBorder="1" applyAlignment="1">
      <alignment vertical="top" wrapText="1"/>
    </xf>
    <xf numFmtId="0" fontId="0" fillId="0" borderId="3" xfId="0" applyBorder="1"/>
    <xf numFmtId="0" fontId="2" fillId="9" borderId="1" xfId="0" applyFont="1" applyFill="1" applyBorder="1" applyAlignment="1">
      <alignment vertical="top" wrapText="1"/>
    </xf>
    <xf numFmtId="0" fontId="0" fillId="0" borderId="2" xfId="0" applyBorder="1"/>
    <xf numFmtId="0" fontId="4" fillId="10" borderId="1" xfId="0" applyFont="1" applyFill="1" applyBorder="1" applyAlignment="1">
      <alignment vertical="top" wrapText="1"/>
    </xf>
    <xf numFmtId="0" fontId="2" fillId="8" borderId="1" xfId="0" applyFont="1" applyFill="1" applyBorder="1" applyAlignment="1">
      <alignment vertical="top" wrapText="1"/>
    </xf>
    <xf numFmtId="0" fontId="0" fillId="9" borderId="1" xfId="0" applyFill="1" applyBorder="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0" fillId="13" borderId="1" xfId="0" applyFill="1" applyBorder="1" applyAlignment="1">
      <alignment vertical="top" wrapText="1"/>
    </xf>
    <xf numFmtId="0" fontId="1" fillId="1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9"/>
  <sheetViews>
    <sheetView tabSelected="1" zoomScaleNormal="100" workbookViewId="0">
      <pane ySplit="1" topLeftCell="A5" activePane="bottomLeft" state="frozen"/>
      <selection pane="bottomLeft" activeCell="D5" sqref="D5:D6"/>
    </sheetView>
  </sheetViews>
  <sheetFormatPr defaultRowHeight="15"/>
  <cols>
    <col min="1" max="1" width="11" customWidth="1"/>
    <col min="2" max="2" width="48" customWidth="1"/>
    <col min="3" max="3" width="12" customWidth="1"/>
    <col min="4" max="4" width="48" customWidth="1"/>
    <col min="5" max="5" width="12" customWidth="1"/>
    <col min="6" max="7" width="52" customWidth="1"/>
    <col min="8" max="8" width="40" customWidth="1"/>
  </cols>
  <sheetData>
    <row r="1" spans="1:8">
      <c r="A1" s="1" t="s">
        <v>0</v>
      </c>
      <c r="B1" s="1" t="s">
        <v>1</v>
      </c>
      <c r="C1" s="2" t="s">
        <v>2</v>
      </c>
      <c r="D1" s="2" t="s">
        <v>3</v>
      </c>
      <c r="E1" s="3" t="s">
        <v>4</v>
      </c>
      <c r="F1" s="3" t="s">
        <v>5</v>
      </c>
      <c r="G1" s="35" t="s">
        <v>854</v>
      </c>
      <c r="H1" s="4" t="s">
        <v>6</v>
      </c>
    </row>
    <row r="2" spans="1:8" ht="30">
      <c r="A2" s="5" t="s">
        <v>7</v>
      </c>
      <c r="B2" s="6"/>
      <c r="C2" s="6"/>
      <c r="D2" s="6"/>
      <c r="E2" s="6"/>
      <c r="F2" s="6"/>
      <c r="G2" s="6"/>
      <c r="H2" s="6"/>
    </row>
    <row r="3" spans="1:8" ht="75">
      <c r="A3" s="27" t="s">
        <v>8</v>
      </c>
      <c r="B3" s="31" t="s">
        <v>9</v>
      </c>
      <c r="C3" s="9" t="s">
        <v>10</v>
      </c>
      <c r="D3" s="10" t="s">
        <v>11</v>
      </c>
      <c r="E3" s="11" t="s">
        <v>12</v>
      </c>
      <c r="F3" s="12" t="s">
        <v>13</v>
      </c>
      <c r="G3" s="34" t="str" cm="1">
        <f t="array" ref="G3">IF(A3="","",_xlfn.TEXTJOIN(", ",TRUE,_xlfn._xlws.FILTER(Objectives!B$2:B$1000,ISNUMBER(SEARCH(A3,Objectives!D$2:D$1000)),"")))</f>
        <v>Fuel cost, Crew cost, Maintenance, Delay cost, Revenue, Ticket price, Schedule convenience, Comfort, Operational flexibility, CO2, NOx, Contrail/climate effects, Noise, Local air quality</v>
      </c>
      <c r="H3" s="13"/>
    </row>
    <row r="4" spans="1:8" ht="75">
      <c r="A4" s="28"/>
      <c r="B4" s="28"/>
      <c r="C4" s="9" t="s">
        <v>14</v>
      </c>
      <c r="D4" s="10" t="s">
        <v>15</v>
      </c>
      <c r="E4" s="11" t="s">
        <v>12</v>
      </c>
      <c r="F4" s="12" t="s">
        <v>16</v>
      </c>
      <c r="G4" s="34" t="str" cm="1">
        <f t="array" ref="G4">IF(A4="","",_xlfn.TEXTJOIN(", ",TRUE,_xlfn._xlws.FILTER(Objectives!B$2:B$1000,ISNUMBER(SEARCH(A4,Objectives!D$2:D$1000)),"")))</f>
        <v/>
      </c>
      <c r="H4" s="13"/>
    </row>
    <row r="5" spans="1:8" ht="75">
      <c r="A5" s="28"/>
      <c r="B5" s="28"/>
      <c r="C5" s="30" t="s">
        <v>17</v>
      </c>
      <c r="D5" s="25" t="s">
        <v>18</v>
      </c>
      <c r="E5" s="11" t="s">
        <v>19</v>
      </c>
      <c r="F5" s="12" t="s">
        <v>20</v>
      </c>
      <c r="G5" s="34" t="str" cm="1">
        <f t="array" ref="G5">IF(A5="","",_xlfn.TEXTJOIN(", ",TRUE,_xlfn._xlws.FILTER(Objectives!B$2:B$1000,ISNUMBER(SEARCH(A5,Objectives!D$2:D$1000)),"")))</f>
        <v/>
      </c>
      <c r="H5" s="13"/>
    </row>
    <row r="6" spans="1:8" ht="45">
      <c r="A6" s="28"/>
      <c r="B6" s="28"/>
      <c r="C6" s="26"/>
      <c r="D6" s="26"/>
      <c r="E6" s="11" t="s">
        <v>21</v>
      </c>
      <c r="F6" s="12" t="s">
        <v>22</v>
      </c>
      <c r="G6" s="34" t="str" cm="1">
        <f t="array" ref="G6">IF(A6="","",_xlfn.TEXTJOIN(", ",TRUE,_xlfn._xlws.FILTER(Objectives!B$2:B$1000,ISNUMBER(SEARCH(A6,Objectives!D$2:D$1000)),"")))</f>
        <v/>
      </c>
      <c r="H6" s="13"/>
    </row>
    <row r="7" spans="1:8" ht="75">
      <c r="A7" s="28"/>
      <c r="B7" s="28"/>
      <c r="C7" s="30" t="s">
        <v>23</v>
      </c>
      <c r="D7" s="25" t="s">
        <v>24</v>
      </c>
      <c r="E7" s="11" t="s">
        <v>19</v>
      </c>
      <c r="F7" s="12" t="s">
        <v>25</v>
      </c>
      <c r="G7" s="34" t="str" cm="1">
        <f t="array" ref="G7">IF(A7="","",_xlfn.TEXTJOIN(", ",TRUE,_xlfn._xlws.FILTER(Objectives!B$2:B$1000,ISNUMBER(SEARCH(A7,Objectives!D$2:D$1000)),"")))</f>
        <v/>
      </c>
      <c r="H7" s="13"/>
    </row>
    <row r="8" spans="1:8" ht="60">
      <c r="A8" s="28"/>
      <c r="B8" s="28"/>
      <c r="C8" s="28"/>
      <c r="D8" s="28"/>
      <c r="E8" s="11" t="s">
        <v>26</v>
      </c>
      <c r="F8" s="12" t="s">
        <v>27</v>
      </c>
      <c r="G8" s="34" t="str" cm="1">
        <f t="array" ref="G8">IF(A8="","",_xlfn.TEXTJOIN(", ",TRUE,_xlfn._xlws.FILTER(Objectives!B$2:B$1000,ISNUMBER(SEARCH(A8,Objectives!D$2:D$1000)),"")))</f>
        <v/>
      </c>
      <c r="H8" s="13"/>
    </row>
    <row r="9" spans="1:8" ht="60">
      <c r="A9" s="28"/>
      <c r="B9" s="28"/>
      <c r="C9" s="28"/>
      <c r="D9" s="28"/>
      <c r="E9" s="11" t="s">
        <v>28</v>
      </c>
      <c r="F9" s="12" t="s">
        <v>29</v>
      </c>
      <c r="G9" s="34" t="str" cm="1">
        <f t="array" ref="G9">IF(A9="","",_xlfn.TEXTJOIN(", ",TRUE,_xlfn._xlws.FILTER(Objectives!B$2:B$1000,ISNUMBER(SEARCH(A9,Objectives!D$2:D$1000)),"")))</f>
        <v/>
      </c>
      <c r="H9" s="13"/>
    </row>
    <row r="10" spans="1:8" ht="90">
      <c r="A10" s="28"/>
      <c r="B10" s="28"/>
      <c r="C10" s="26"/>
      <c r="D10" s="26"/>
      <c r="E10" s="11" t="s">
        <v>30</v>
      </c>
      <c r="F10" s="12" t="s">
        <v>31</v>
      </c>
      <c r="G10" s="34" t="str" cm="1">
        <f t="array" ref="G10">IF(A10="","",_xlfn.TEXTJOIN(", ",TRUE,_xlfn._xlws.FILTER(Objectives!B$2:B$1000,ISNUMBER(SEARCH(A10,Objectives!D$2:D$1000)),"")))</f>
        <v/>
      </c>
      <c r="H10" s="13"/>
    </row>
    <row r="11" spans="1:8" ht="60">
      <c r="A11" s="26"/>
      <c r="B11" s="26"/>
      <c r="C11" s="9" t="s">
        <v>32</v>
      </c>
      <c r="D11" s="10" t="s">
        <v>33</v>
      </c>
      <c r="E11" s="11" t="s">
        <v>34</v>
      </c>
      <c r="F11" s="12" t="s">
        <v>35</v>
      </c>
      <c r="G11" s="34" t="str" cm="1">
        <f t="array" ref="G11">IF(A11="","",_xlfn.TEXTJOIN(", ",TRUE,_xlfn._xlws.FILTER(Objectives!B$2:B$1000,ISNUMBER(SEARCH(A11,Objectives!D$2:D$1000)),"")))</f>
        <v/>
      </c>
      <c r="H11" s="13"/>
    </row>
    <row r="12" spans="1:8" ht="105">
      <c r="A12" s="27" t="s">
        <v>36</v>
      </c>
      <c r="B12" s="31" t="s">
        <v>37</v>
      </c>
      <c r="C12" s="30" t="s">
        <v>38</v>
      </c>
      <c r="D12" s="25" t="s">
        <v>39</v>
      </c>
      <c r="E12" s="11" t="s">
        <v>40</v>
      </c>
      <c r="F12" s="12" t="s">
        <v>41</v>
      </c>
      <c r="G12" s="34" t="str" cm="1">
        <f t="array" ref="G12">IF(A12="","",_xlfn.TEXTJOIN(", ",TRUE,_xlfn._xlws.FILTER(Objectives!B$2:B$1000,ISNUMBER(SEARCH(A12,Objectives!D$2:D$1000)),"")))</f>
        <v>Aircraft utilization, Schedule integrity, Passenger connections, Dispatch reliability, Travel time, Connection reliability, Disruption risk, Predictability, Delay (ATC-attributed), Gate utilization, Runway utilization, Surface congestion, Turnaround performance, Passenger throughput, Schedule/duty constraints</v>
      </c>
      <c r="H12" s="13"/>
    </row>
    <row r="13" spans="1:8" ht="60">
      <c r="A13" s="28"/>
      <c r="B13" s="28"/>
      <c r="C13" s="26"/>
      <c r="D13" s="26"/>
      <c r="E13" s="11" t="s">
        <v>42</v>
      </c>
      <c r="F13" s="12" t="s">
        <v>43</v>
      </c>
      <c r="G13" s="34" t="str" cm="1">
        <f t="array" ref="G13">IF(A13="","",_xlfn.TEXTJOIN(", ",TRUE,_xlfn._xlws.FILTER(Objectives!B$2:B$1000,ISNUMBER(SEARCH(A13,Objectives!D$2:D$1000)),"")))</f>
        <v/>
      </c>
      <c r="H13" s="13"/>
    </row>
    <row r="14" spans="1:8" ht="45">
      <c r="A14" s="28"/>
      <c r="B14" s="28"/>
      <c r="C14" s="9" t="s">
        <v>44</v>
      </c>
      <c r="D14" s="14" t="s">
        <v>45</v>
      </c>
      <c r="E14" s="13"/>
      <c r="F14" s="15" t="s">
        <v>46</v>
      </c>
      <c r="G14" s="15" t="str" cm="1">
        <f t="array" ref="G14">IF(A14="","",_xlfn.TEXTJOIN(", ",TRUE,_xlfn._xlws.FILTER(Objectives!B$2:B$1000,ISNUMBER(SEARCH(A14,Objectives!D$2:D$1000)),"")))</f>
        <v/>
      </c>
      <c r="H14" s="13"/>
    </row>
    <row r="15" spans="1:8" ht="30">
      <c r="A15" s="28"/>
      <c r="B15" s="28"/>
      <c r="C15" s="30" t="s">
        <v>47</v>
      </c>
      <c r="D15" s="25" t="s">
        <v>48</v>
      </c>
      <c r="E15" s="11" t="s">
        <v>49</v>
      </c>
      <c r="F15" s="12" t="s">
        <v>50</v>
      </c>
      <c r="G15" s="34" t="str" cm="1">
        <f t="array" ref="G15">IF(A15="","",_xlfn.TEXTJOIN(", ",TRUE,_xlfn._xlws.FILTER(Objectives!B$2:B$1000,ISNUMBER(SEARCH(A15,Objectives!D$2:D$1000)),"")))</f>
        <v/>
      </c>
      <c r="H15" s="13"/>
    </row>
    <row r="16" spans="1:8" ht="60">
      <c r="A16" s="28"/>
      <c r="B16" s="28"/>
      <c r="C16" s="26"/>
      <c r="D16" s="26"/>
      <c r="E16" s="11" t="s">
        <v>51</v>
      </c>
      <c r="F16" s="12" t="s">
        <v>52</v>
      </c>
      <c r="G16" s="34" t="str" cm="1">
        <f t="array" ref="G16">IF(A16="","",_xlfn.TEXTJOIN(", ",TRUE,_xlfn._xlws.FILTER(Objectives!B$2:B$1000,ISNUMBER(SEARCH(A16,Objectives!D$2:D$1000)),"")))</f>
        <v/>
      </c>
      <c r="H16" s="13"/>
    </row>
    <row r="17" spans="1:8" ht="45">
      <c r="A17" s="26"/>
      <c r="B17" s="26"/>
      <c r="C17" s="9" t="s">
        <v>53</v>
      </c>
      <c r="D17" s="14" t="s">
        <v>54</v>
      </c>
      <c r="E17" s="13"/>
      <c r="F17" s="15" t="s">
        <v>46</v>
      </c>
      <c r="G17" s="15" t="str" cm="1">
        <f t="array" ref="G17">IF(A17="","",_xlfn.TEXTJOIN(", ",TRUE,_xlfn._xlws.FILTER(Objectives!B$2:B$1000,ISNUMBER(SEARCH(A17,Objectives!D$2:D$1000)),"")))</f>
        <v/>
      </c>
      <c r="H17" s="13"/>
    </row>
    <row r="18" spans="1:8" ht="75">
      <c r="A18" s="27" t="s">
        <v>55</v>
      </c>
      <c r="B18" s="31" t="s">
        <v>56</v>
      </c>
      <c r="C18" s="9" t="s">
        <v>57</v>
      </c>
      <c r="D18" s="14" t="s">
        <v>58</v>
      </c>
      <c r="E18" s="13"/>
      <c r="F18" s="15" t="s">
        <v>46</v>
      </c>
      <c r="G18" s="15" t="str" cm="1">
        <f t="array" ref="G18">IF(A18="","",_xlfn.TEXTJOIN(", ",TRUE,_xlfn._xlws.FILTER(Objectives!B$2:B$1000,ISNUMBER(SEARCH(A18,Objectives!D$2:D$1000)),"")))</f>
        <v>Schedule integrity, Delay cost</v>
      </c>
      <c r="H18" s="13"/>
    </row>
    <row r="19" spans="1:8" ht="45">
      <c r="A19" s="28"/>
      <c r="B19" s="28"/>
      <c r="C19" s="30" t="s">
        <v>59</v>
      </c>
      <c r="D19" s="25" t="s">
        <v>60</v>
      </c>
      <c r="E19" s="11" t="s">
        <v>40</v>
      </c>
      <c r="F19" s="12" t="s">
        <v>61</v>
      </c>
      <c r="G19" s="34" t="str" cm="1">
        <f t="array" ref="G19">IF(A19="","",_xlfn.TEXTJOIN(", ",TRUE,_xlfn._xlws.FILTER(Objectives!B$2:B$1000,ISNUMBER(SEARCH(A19,Objectives!D$2:D$1000)),"")))</f>
        <v/>
      </c>
      <c r="H19" s="13"/>
    </row>
    <row r="20" spans="1:8" ht="60">
      <c r="A20" s="28"/>
      <c r="B20" s="28"/>
      <c r="C20" s="28"/>
      <c r="D20" s="28"/>
      <c r="E20" s="11" t="s">
        <v>42</v>
      </c>
      <c r="F20" s="12" t="s">
        <v>62</v>
      </c>
      <c r="G20" s="34" t="str" cm="1">
        <f t="array" ref="G20">IF(A20="","",_xlfn.TEXTJOIN(", ",TRUE,_xlfn._xlws.FILTER(Objectives!B$2:B$1000,ISNUMBER(SEARCH(A20,Objectives!D$2:D$1000)),"")))</f>
        <v/>
      </c>
      <c r="H20" s="13"/>
    </row>
    <row r="21" spans="1:8" ht="45">
      <c r="A21" s="28"/>
      <c r="B21" s="28"/>
      <c r="C21" s="26"/>
      <c r="D21" s="26"/>
      <c r="E21" s="11" t="s">
        <v>63</v>
      </c>
      <c r="F21" s="12" t="s">
        <v>64</v>
      </c>
      <c r="G21" s="34" t="str" cm="1">
        <f t="array" ref="G21">IF(A21="","",_xlfn.TEXTJOIN(", ",TRUE,_xlfn._xlws.FILTER(Objectives!B$2:B$1000,ISNUMBER(SEARCH(A21,Objectives!D$2:D$1000)),"")))</f>
        <v/>
      </c>
      <c r="H21" s="13"/>
    </row>
    <row r="22" spans="1:8" ht="45">
      <c r="A22" s="28"/>
      <c r="B22" s="28"/>
      <c r="C22" s="30" t="s">
        <v>38</v>
      </c>
      <c r="D22" s="25" t="s">
        <v>65</v>
      </c>
      <c r="E22" s="11" t="s">
        <v>40</v>
      </c>
      <c r="F22" s="12" t="s">
        <v>41</v>
      </c>
      <c r="G22" s="34" t="str" cm="1">
        <f t="array" ref="G22">IF(A22="","",_xlfn.TEXTJOIN(", ",TRUE,_xlfn._xlws.FILTER(Objectives!B$2:B$1000,ISNUMBER(SEARCH(A22,Objectives!D$2:D$1000)),"")))</f>
        <v/>
      </c>
      <c r="H22" s="13"/>
    </row>
    <row r="23" spans="1:8" ht="60">
      <c r="A23" s="26"/>
      <c r="B23" s="26"/>
      <c r="C23" s="26"/>
      <c r="D23" s="26"/>
      <c r="E23" s="11" t="s">
        <v>42</v>
      </c>
      <c r="F23" s="12" t="s">
        <v>43</v>
      </c>
      <c r="G23" s="34" t="str" cm="1">
        <f t="array" ref="G23">IF(A23="","",_xlfn.TEXTJOIN(", ",TRUE,_xlfn._xlws.FILTER(Objectives!B$2:B$1000,ISNUMBER(SEARCH(A23,Objectives!D$2:D$1000)),"")))</f>
        <v/>
      </c>
      <c r="H23" s="13"/>
    </row>
    <row r="24" spans="1:8" ht="45">
      <c r="A24" s="7" t="s">
        <v>66</v>
      </c>
      <c r="B24" s="14" t="s">
        <v>67</v>
      </c>
      <c r="C24" s="9" t="s">
        <v>68</v>
      </c>
      <c r="D24" s="14" t="s">
        <v>69</v>
      </c>
      <c r="E24" s="13"/>
      <c r="F24" s="15" t="s">
        <v>46</v>
      </c>
      <c r="G24" s="15" t="str" cm="1">
        <f t="array" ref="G24">IF(A24="","",_xlfn.TEXTJOIN(", ",TRUE,_xlfn._xlws.FILTER(Objectives!B$2:B$1000,ISNUMBER(SEARCH(A24,Objectives!D$2:D$1000)),"")))</f>
        <v/>
      </c>
      <c r="H24" s="13"/>
    </row>
    <row r="25" spans="1:8" ht="60">
      <c r="A25" s="27" t="s">
        <v>70</v>
      </c>
      <c r="B25" s="31" t="s">
        <v>71</v>
      </c>
      <c r="C25" s="9" t="s">
        <v>72</v>
      </c>
      <c r="D25" s="16" t="s">
        <v>73</v>
      </c>
      <c r="E25" s="11" t="s">
        <v>74</v>
      </c>
      <c r="F25" s="17" t="s">
        <v>75</v>
      </c>
      <c r="G25" s="17" t="str" cm="1">
        <f t="array" ref="G25">IF(A25="","",_xlfn.TEXTJOIN(", ",TRUE,_xlfn._xlws.FILTER(Objectives!B$2:B$1000,ISNUMBER(SEARCH(A25,Objectives!D$2:D$1000)),"")))</f>
        <v>Fuel cost, Schedule integrity, Passenger connections, Operational flexibility, CO2, NOx, Contrail/climate effects, Noise, Local air quality</v>
      </c>
      <c r="H25" s="13"/>
    </row>
    <row r="26" spans="1:8" ht="60">
      <c r="A26" s="28"/>
      <c r="B26" s="28"/>
      <c r="C26" s="30" t="s">
        <v>76</v>
      </c>
      <c r="D26" s="32" t="s">
        <v>77</v>
      </c>
      <c r="E26" s="11" t="s">
        <v>78</v>
      </c>
      <c r="F26" s="17" t="s">
        <v>79</v>
      </c>
      <c r="G26" s="17" t="str" cm="1">
        <f t="array" ref="G26">IF(A26="","",_xlfn.TEXTJOIN(", ",TRUE,_xlfn._xlws.FILTER(Objectives!B$2:B$1000,ISNUMBER(SEARCH(A26,Objectives!D$2:D$1000)),"")))</f>
        <v/>
      </c>
      <c r="H26" s="13"/>
    </row>
    <row r="27" spans="1:8" ht="90">
      <c r="A27" s="28"/>
      <c r="B27" s="28"/>
      <c r="C27" s="28"/>
      <c r="D27" s="28"/>
      <c r="E27" s="11" t="s">
        <v>80</v>
      </c>
      <c r="F27" s="17" t="s">
        <v>81</v>
      </c>
      <c r="G27" s="17" t="str" cm="1">
        <f t="array" ref="G27">IF(A27="","",_xlfn.TEXTJOIN(", ",TRUE,_xlfn._xlws.FILTER(Objectives!B$2:B$1000,ISNUMBER(SEARCH(A27,Objectives!D$2:D$1000)),"")))</f>
        <v/>
      </c>
      <c r="H27" s="13"/>
    </row>
    <row r="28" spans="1:8" ht="90">
      <c r="A28" s="26"/>
      <c r="B28" s="26"/>
      <c r="C28" s="26"/>
      <c r="D28" s="26"/>
      <c r="E28" s="11" t="s">
        <v>30</v>
      </c>
      <c r="F28" s="12" t="s">
        <v>82</v>
      </c>
      <c r="G28" s="34" t="str" cm="1">
        <f t="array" ref="G28">IF(A28="","",_xlfn.TEXTJOIN(", ",TRUE,_xlfn._xlws.FILTER(Objectives!B$2:B$1000,ISNUMBER(SEARCH(A28,Objectives!D$2:D$1000)),"")))</f>
        <v/>
      </c>
      <c r="H28" s="13"/>
    </row>
    <row r="29" spans="1:8" ht="45">
      <c r="A29" s="7" t="s">
        <v>83</v>
      </c>
      <c r="B29" s="14" t="s">
        <v>84</v>
      </c>
      <c r="C29" s="9" t="s">
        <v>85</v>
      </c>
      <c r="D29" s="14" t="s">
        <v>86</v>
      </c>
      <c r="E29" s="13"/>
      <c r="F29" s="15" t="s">
        <v>46</v>
      </c>
      <c r="G29" s="15" t="str" cm="1">
        <f t="array" ref="G29">IF(A29="","",_xlfn.TEXTJOIN(", ",TRUE,_xlfn._xlws.FILTER(Objectives!B$2:B$1000,ISNUMBER(SEARCH(A29,Objectives!D$2:D$1000)),"")))</f>
        <v/>
      </c>
      <c r="H29" s="13"/>
    </row>
    <row r="30" spans="1:8" ht="45">
      <c r="A30" s="5" t="s">
        <v>87</v>
      </c>
      <c r="B30" s="6"/>
      <c r="C30" s="6"/>
      <c r="D30" s="6"/>
      <c r="E30" s="6"/>
      <c r="F30" s="6"/>
      <c r="G30" s="6" t="str" cm="1">
        <f t="array" ref="G30">IF(A30="","",_xlfn.TEXTJOIN(", ",TRUE,_xlfn._xlws.FILTER(Objectives!B$2:B$1000,ISNUMBER(SEARCH(A30,Objectives!D$2:D$1000)),"")))</f>
        <v/>
      </c>
      <c r="H30" s="6"/>
    </row>
    <row r="31" spans="1:8" ht="45">
      <c r="A31" s="27" t="s">
        <v>88</v>
      </c>
      <c r="B31" s="31" t="s">
        <v>89</v>
      </c>
      <c r="C31" s="9" t="s">
        <v>90</v>
      </c>
      <c r="D31" s="10" t="s">
        <v>91</v>
      </c>
      <c r="E31" s="11" t="s">
        <v>92</v>
      </c>
      <c r="F31" s="12" t="s">
        <v>93</v>
      </c>
      <c r="G31" s="34" t="str" cm="1">
        <f t="array" ref="G31">IF(A31="","",_xlfn.TEXTJOIN(", ",TRUE,_xlfn._xlws.FILTER(Objectives!B$2:B$1000,ISNUMBER(SEARCH(A31,Objectives!D$2:D$1000)),"")))</f>
        <v>Flight Safety, Safety/separation</v>
      </c>
      <c r="H31" s="13"/>
    </row>
    <row r="32" spans="1:8" ht="75">
      <c r="A32" s="28"/>
      <c r="B32" s="28"/>
      <c r="C32" s="30" t="s">
        <v>94</v>
      </c>
      <c r="D32" s="25" t="s">
        <v>95</v>
      </c>
      <c r="E32" s="11" t="s">
        <v>96</v>
      </c>
      <c r="F32" s="12" t="s">
        <v>97</v>
      </c>
      <c r="G32" s="34" t="str" cm="1">
        <f t="array" ref="G32">IF(A32="","",_xlfn.TEXTJOIN(", ",TRUE,_xlfn._xlws.FILTER(Objectives!B$2:B$1000,ISNUMBER(SEARCH(A32,Objectives!D$2:D$1000)),"")))</f>
        <v/>
      </c>
      <c r="H32" s="13"/>
    </row>
    <row r="33" spans="1:8" ht="60">
      <c r="A33" s="28"/>
      <c r="B33" s="28"/>
      <c r="C33" s="28"/>
      <c r="D33" s="28"/>
      <c r="E33" s="11" t="s">
        <v>98</v>
      </c>
      <c r="F33" s="17" t="s">
        <v>99</v>
      </c>
      <c r="G33" s="17" t="str" cm="1">
        <f t="array" ref="G33">IF(A33="","",_xlfn.TEXTJOIN(", ",TRUE,_xlfn._xlws.FILTER(Objectives!B$2:B$1000,ISNUMBER(SEARCH(A33,Objectives!D$2:D$1000)),"")))</f>
        <v/>
      </c>
      <c r="H33" s="13"/>
    </row>
    <row r="34" spans="1:8" ht="60">
      <c r="A34" s="28"/>
      <c r="B34" s="28"/>
      <c r="C34" s="26"/>
      <c r="D34" s="26"/>
      <c r="E34" s="11" t="s">
        <v>100</v>
      </c>
      <c r="F34" s="12" t="s">
        <v>101</v>
      </c>
      <c r="G34" s="34" t="str" cm="1">
        <f t="array" ref="G34">IF(A34="","",_xlfn.TEXTJOIN(", ",TRUE,_xlfn._xlws.FILTER(Objectives!B$2:B$1000,ISNUMBER(SEARCH(A34,Objectives!D$2:D$1000)),"")))</f>
        <v/>
      </c>
      <c r="H34" s="13"/>
    </row>
    <row r="35" spans="1:8" ht="30">
      <c r="A35" s="28"/>
      <c r="B35" s="28"/>
      <c r="C35" s="30" t="s">
        <v>102</v>
      </c>
      <c r="D35" s="25" t="s">
        <v>103</v>
      </c>
      <c r="E35" s="11" t="s">
        <v>104</v>
      </c>
      <c r="F35" s="12" t="s">
        <v>105</v>
      </c>
      <c r="G35" s="34" t="str" cm="1">
        <f t="array" ref="G35">IF(A35="","",_xlfn.TEXTJOIN(", ",TRUE,_xlfn._xlws.FILTER(Objectives!B$2:B$1000,ISNUMBER(SEARCH(A35,Objectives!D$2:D$1000)),"")))</f>
        <v/>
      </c>
      <c r="H35" s="13"/>
    </row>
    <row r="36" spans="1:8" ht="60">
      <c r="A36" s="28"/>
      <c r="B36" s="28"/>
      <c r="C36" s="26"/>
      <c r="D36" s="26"/>
      <c r="E36" s="11" t="s">
        <v>100</v>
      </c>
      <c r="F36" s="12" t="s">
        <v>106</v>
      </c>
      <c r="G36" s="34" t="str" cm="1">
        <f t="array" ref="G36">IF(A36="","",_xlfn.TEXTJOIN(", ",TRUE,_xlfn._xlws.FILTER(Objectives!B$2:B$1000,ISNUMBER(SEARCH(A36,Objectives!D$2:D$1000)),"")))</f>
        <v/>
      </c>
      <c r="H36" s="13"/>
    </row>
    <row r="37" spans="1:8" ht="60">
      <c r="A37" s="28"/>
      <c r="B37" s="28"/>
      <c r="C37" s="9" t="s">
        <v>107</v>
      </c>
      <c r="D37" s="14" t="s">
        <v>108</v>
      </c>
      <c r="E37" s="13"/>
      <c r="F37" s="15" t="s">
        <v>46</v>
      </c>
      <c r="G37" s="15" t="str" cm="1">
        <f t="array" ref="G37">IF(A37="","",_xlfn.TEXTJOIN(", ",TRUE,_xlfn._xlws.FILTER(Objectives!B$2:B$1000,ISNUMBER(SEARCH(A37,Objectives!D$2:D$1000)),"")))</f>
        <v/>
      </c>
      <c r="H37" s="13"/>
    </row>
    <row r="38" spans="1:8" ht="75">
      <c r="A38" s="28"/>
      <c r="B38" s="28"/>
      <c r="C38" s="9" t="s">
        <v>109</v>
      </c>
      <c r="D38" s="14" t="s">
        <v>110</v>
      </c>
      <c r="E38" s="13"/>
      <c r="F38" s="15" t="s">
        <v>46</v>
      </c>
      <c r="G38" s="15" t="str" cm="1">
        <f t="array" ref="G38">IF(A38="","",_xlfn.TEXTJOIN(", ",TRUE,_xlfn._xlws.FILTER(Objectives!B$2:B$1000,ISNUMBER(SEARCH(A38,Objectives!D$2:D$1000)),"")))</f>
        <v/>
      </c>
      <c r="H38" s="13"/>
    </row>
    <row r="39" spans="1:8" ht="60">
      <c r="A39" s="28"/>
      <c r="B39" s="28"/>
      <c r="C39" s="9" t="s">
        <v>111</v>
      </c>
      <c r="D39" s="10" t="s">
        <v>112</v>
      </c>
      <c r="E39" s="11" t="s">
        <v>113</v>
      </c>
      <c r="F39" s="12" t="s">
        <v>114</v>
      </c>
      <c r="G39" s="34" t="str" cm="1">
        <f t="array" ref="G39">IF(A39="","",_xlfn.TEXTJOIN(", ",TRUE,_xlfn._xlws.FILTER(Objectives!B$2:B$1000,ISNUMBER(SEARCH(A39,Objectives!D$2:D$1000)),"")))</f>
        <v/>
      </c>
      <c r="H39" s="13"/>
    </row>
    <row r="40" spans="1:8" ht="75">
      <c r="A40" s="28"/>
      <c r="B40" s="28"/>
      <c r="C40" s="30" t="s">
        <v>115</v>
      </c>
      <c r="D40" s="25" t="s">
        <v>116</v>
      </c>
      <c r="E40" s="11" t="s">
        <v>117</v>
      </c>
      <c r="F40" s="12" t="s">
        <v>118</v>
      </c>
      <c r="G40" s="34" t="str" cm="1">
        <f t="array" ref="G40">IF(A40="","",_xlfn.TEXTJOIN(", ",TRUE,_xlfn._xlws.FILTER(Objectives!B$2:B$1000,ISNUMBER(SEARCH(A40,Objectives!D$2:D$1000)),"")))</f>
        <v/>
      </c>
      <c r="H40" s="13"/>
    </row>
    <row r="41" spans="1:8" ht="75">
      <c r="A41" s="28"/>
      <c r="B41" s="28"/>
      <c r="C41" s="28"/>
      <c r="D41" s="28"/>
      <c r="E41" s="11" t="s">
        <v>96</v>
      </c>
      <c r="F41" s="12" t="s">
        <v>119</v>
      </c>
      <c r="G41" s="34" t="str" cm="1">
        <f t="array" ref="G41">IF(A41="","",_xlfn.TEXTJOIN(", ",TRUE,_xlfn._xlws.FILTER(Objectives!B$2:B$1000,ISNUMBER(SEARCH(A41,Objectives!D$2:D$1000)),"")))</f>
        <v/>
      </c>
      <c r="H41" s="13"/>
    </row>
    <row r="42" spans="1:8" ht="45">
      <c r="A42" s="26"/>
      <c r="B42" s="26"/>
      <c r="C42" s="26"/>
      <c r="D42" s="26"/>
      <c r="E42" s="11" t="s">
        <v>120</v>
      </c>
      <c r="F42" s="12" t="s">
        <v>121</v>
      </c>
      <c r="G42" s="34" t="str" cm="1">
        <f t="array" ref="G42">IF(A42="","",_xlfn.TEXTJOIN(", ",TRUE,_xlfn._xlws.FILTER(Objectives!B$2:B$1000,ISNUMBER(SEARCH(A42,Objectives!D$2:D$1000)),"")))</f>
        <v/>
      </c>
      <c r="H42" s="13"/>
    </row>
    <row r="43" spans="1:8" ht="45">
      <c r="A43" s="27" t="s">
        <v>122</v>
      </c>
      <c r="B43" s="31" t="s">
        <v>123</v>
      </c>
      <c r="C43" s="9" t="s">
        <v>90</v>
      </c>
      <c r="D43" s="10" t="s">
        <v>124</v>
      </c>
      <c r="E43" s="11" t="s">
        <v>92</v>
      </c>
      <c r="F43" s="12" t="s">
        <v>93</v>
      </c>
      <c r="G43" s="34" t="str" cm="1">
        <f t="array" ref="G43">IF(A43="","",_xlfn.TEXTJOIN(", ",TRUE,_xlfn._xlws.FILTER(Objectives!B$2:B$1000,ISNUMBER(SEARCH(A43,Objectives!D$2:D$1000)),"")))</f>
        <v>Capacity</v>
      </c>
      <c r="H43" s="13"/>
    </row>
    <row r="44" spans="1:8" ht="75">
      <c r="A44" s="28"/>
      <c r="B44" s="28"/>
      <c r="C44" s="9" t="s">
        <v>125</v>
      </c>
      <c r="D44" s="14" t="s">
        <v>126</v>
      </c>
      <c r="E44" s="13"/>
      <c r="F44" s="15" t="s">
        <v>46</v>
      </c>
      <c r="G44" s="15" t="str" cm="1">
        <f t="array" ref="G44">IF(A44="","",_xlfn.TEXTJOIN(", ",TRUE,_xlfn._xlws.FILTER(Objectives!B$2:B$1000,ISNUMBER(SEARCH(A44,Objectives!D$2:D$1000)),"")))</f>
        <v/>
      </c>
      <c r="H44" s="13"/>
    </row>
    <row r="45" spans="1:8" ht="60">
      <c r="A45" s="28"/>
      <c r="B45" s="28"/>
      <c r="C45" s="9" t="s">
        <v>127</v>
      </c>
      <c r="D45" s="14" t="s">
        <v>128</v>
      </c>
      <c r="E45" s="13"/>
      <c r="F45" s="15" t="s">
        <v>46</v>
      </c>
      <c r="G45" s="15" t="str" cm="1">
        <f t="array" ref="G45">IF(A45="","",_xlfn.TEXTJOIN(", ",TRUE,_xlfn._xlws.FILTER(Objectives!B$2:B$1000,ISNUMBER(SEARCH(A45,Objectives!D$2:D$1000)),"")))</f>
        <v/>
      </c>
      <c r="H45" s="13"/>
    </row>
    <row r="46" spans="1:8" ht="75">
      <c r="A46" s="26"/>
      <c r="B46" s="26"/>
      <c r="C46" s="9" t="s">
        <v>129</v>
      </c>
      <c r="D46" s="14" t="s">
        <v>130</v>
      </c>
      <c r="E46" s="13"/>
      <c r="F46" s="15" t="s">
        <v>46</v>
      </c>
      <c r="G46" s="15" t="str" cm="1">
        <f t="array" ref="G46">IF(A46="","",_xlfn.TEXTJOIN(", ",TRUE,_xlfn._xlws.FILTER(Objectives!B$2:B$1000,ISNUMBER(SEARCH(A46,Objectives!D$2:D$1000)),"")))</f>
        <v/>
      </c>
      <c r="H46" s="13"/>
    </row>
    <row r="47" spans="1:8" ht="45">
      <c r="A47" s="27" t="s">
        <v>131</v>
      </c>
      <c r="B47" s="29" t="s">
        <v>132</v>
      </c>
      <c r="C47" s="9" t="s">
        <v>90</v>
      </c>
      <c r="D47" s="10" t="s">
        <v>133</v>
      </c>
      <c r="E47" s="11" t="s">
        <v>92</v>
      </c>
      <c r="F47" s="12" t="s">
        <v>93</v>
      </c>
      <c r="G47" s="34" t="str" cm="1">
        <f t="array" ref="G47">IF(A47="","",_xlfn.TEXTJOIN(", ",TRUE,_xlfn._xlws.FILTER(Objectives!B$2:B$1000,ISNUMBER(SEARCH(A47,Objectives!D$2:D$1000)),"")))</f>
        <v/>
      </c>
      <c r="H47" s="13"/>
    </row>
    <row r="48" spans="1:8" ht="60">
      <c r="A48" s="28"/>
      <c r="B48" s="28"/>
      <c r="C48" s="9" t="s">
        <v>127</v>
      </c>
      <c r="D48" s="14" t="s">
        <v>134</v>
      </c>
      <c r="E48" s="13"/>
      <c r="F48" s="15" t="s">
        <v>46</v>
      </c>
      <c r="G48" s="15" t="str" cm="1">
        <f t="array" ref="G48">IF(A48="","",_xlfn.TEXTJOIN(", ",TRUE,_xlfn._xlws.FILTER(Objectives!B$2:B$1000,ISNUMBER(SEARCH(A48,Objectives!D$2:D$1000)),"")))</f>
        <v/>
      </c>
      <c r="H48" s="13"/>
    </row>
    <row r="49" spans="1:8" ht="60">
      <c r="A49" s="28"/>
      <c r="B49" s="28"/>
      <c r="C49" s="9" t="s">
        <v>107</v>
      </c>
      <c r="D49" s="14" t="s">
        <v>135</v>
      </c>
      <c r="E49" s="13"/>
      <c r="F49" s="15" t="s">
        <v>46</v>
      </c>
      <c r="G49" s="15" t="str" cm="1">
        <f t="array" ref="G49">IF(A49="","",_xlfn.TEXTJOIN(", ",TRUE,_xlfn._xlws.FILTER(Objectives!B$2:B$1000,ISNUMBER(SEARCH(A49,Objectives!D$2:D$1000)),"")))</f>
        <v/>
      </c>
      <c r="H49" s="13"/>
    </row>
    <row r="50" spans="1:8" ht="60">
      <c r="A50" s="28"/>
      <c r="B50" s="28"/>
      <c r="C50" s="9" t="s">
        <v>111</v>
      </c>
      <c r="D50" s="10" t="s">
        <v>136</v>
      </c>
      <c r="E50" s="11" t="s">
        <v>113</v>
      </c>
      <c r="F50" s="12" t="s">
        <v>114</v>
      </c>
      <c r="G50" s="34" t="str" cm="1">
        <f t="array" ref="G50">IF(A50="","",_xlfn.TEXTJOIN(", ",TRUE,_xlfn._xlws.FILTER(Objectives!B$2:B$1000,ISNUMBER(SEARCH(A50,Objectives!D$2:D$1000)),"")))</f>
        <v/>
      </c>
      <c r="H50" s="13"/>
    </row>
    <row r="51" spans="1:8" ht="60">
      <c r="A51" s="28"/>
      <c r="B51" s="28"/>
      <c r="C51" s="9" t="s">
        <v>137</v>
      </c>
      <c r="D51" s="14" t="s">
        <v>138</v>
      </c>
      <c r="E51" s="13"/>
      <c r="F51" s="15" t="s">
        <v>46</v>
      </c>
      <c r="G51" s="15" t="str" cm="1">
        <f t="array" ref="G51">IF(A51="","",_xlfn.TEXTJOIN(", ",TRUE,_xlfn._xlws.FILTER(Objectives!B$2:B$1000,ISNUMBER(SEARCH(A51,Objectives!D$2:D$1000)),"")))</f>
        <v/>
      </c>
      <c r="H51" s="13"/>
    </row>
    <row r="52" spans="1:8" ht="75">
      <c r="A52" s="28"/>
      <c r="B52" s="28"/>
      <c r="C52" s="30" t="s">
        <v>115</v>
      </c>
      <c r="D52" s="25" t="s">
        <v>139</v>
      </c>
      <c r="E52" s="11" t="s">
        <v>117</v>
      </c>
      <c r="F52" s="12" t="s">
        <v>118</v>
      </c>
      <c r="G52" s="34" t="str" cm="1">
        <f t="array" ref="G52">IF(A52="","",_xlfn.TEXTJOIN(", ",TRUE,_xlfn._xlws.FILTER(Objectives!B$2:B$1000,ISNUMBER(SEARCH(A52,Objectives!D$2:D$1000)),"")))</f>
        <v/>
      </c>
      <c r="H52" s="13"/>
    </row>
    <row r="53" spans="1:8" ht="75">
      <c r="A53" s="28"/>
      <c r="B53" s="28"/>
      <c r="C53" s="28"/>
      <c r="D53" s="28"/>
      <c r="E53" s="11" t="s">
        <v>96</v>
      </c>
      <c r="F53" s="12" t="s">
        <v>119</v>
      </c>
      <c r="G53" s="34" t="str" cm="1">
        <f t="array" ref="G53">IF(A53="","",_xlfn.TEXTJOIN(", ",TRUE,_xlfn._xlws.FILTER(Objectives!B$2:B$1000,ISNUMBER(SEARCH(A53,Objectives!D$2:D$1000)),"")))</f>
        <v/>
      </c>
      <c r="H53" s="13"/>
    </row>
    <row r="54" spans="1:8" ht="45">
      <c r="A54" s="26"/>
      <c r="B54" s="26"/>
      <c r="C54" s="26"/>
      <c r="D54" s="26"/>
      <c r="E54" s="11" t="s">
        <v>120</v>
      </c>
      <c r="F54" s="12" t="s">
        <v>121</v>
      </c>
      <c r="G54" s="34" t="str" cm="1">
        <f t="array" ref="G54">IF(A54="","",_xlfn.TEXTJOIN(", ",TRUE,_xlfn._xlws.FILTER(Objectives!B$2:B$1000,ISNUMBER(SEARCH(A54,Objectives!D$2:D$1000)),"")))</f>
        <v/>
      </c>
      <c r="H54" s="13"/>
    </row>
    <row r="55" spans="1:8" ht="45">
      <c r="A55" s="7" t="s">
        <v>140</v>
      </c>
      <c r="B55" s="8" t="s">
        <v>141</v>
      </c>
      <c r="C55" s="9" t="s">
        <v>142</v>
      </c>
      <c r="D55" s="10" t="s">
        <v>143</v>
      </c>
      <c r="E55" s="11" t="s">
        <v>144</v>
      </c>
      <c r="F55" s="12" t="s">
        <v>145</v>
      </c>
      <c r="G55" s="34" t="str" cm="1">
        <f t="array" ref="G55">IF(A55="","",_xlfn.TEXTJOIN(", ",TRUE,_xlfn._xlws.FILTER(Objectives!B$2:B$1000,ISNUMBER(SEARCH(A55,Objectives!D$2:D$1000)),"")))</f>
        <v>Sector workload, Traffic complexity</v>
      </c>
      <c r="H55" s="13"/>
    </row>
    <row r="56" spans="1:8" ht="45">
      <c r="A56" s="27" t="s">
        <v>146</v>
      </c>
      <c r="B56" s="29" t="s">
        <v>147</v>
      </c>
      <c r="C56" s="9" t="s">
        <v>148</v>
      </c>
      <c r="D56" s="14" t="s">
        <v>149</v>
      </c>
      <c r="E56" s="13"/>
      <c r="F56" s="15" t="s">
        <v>46</v>
      </c>
      <c r="G56" s="15" t="str" cm="1">
        <f t="array" ref="G56">IF(A56="","",_xlfn.TEXTJOIN(", ",TRUE,_xlfn._xlws.FILTER(Objectives!B$2:B$1000,ISNUMBER(SEARCH(A56,Objectives!D$2:D$1000)),"")))</f>
        <v/>
      </c>
      <c r="H56" s="13"/>
    </row>
    <row r="57" spans="1:8" ht="45">
      <c r="A57" s="26"/>
      <c r="B57" s="26"/>
      <c r="C57" s="9" t="s">
        <v>150</v>
      </c>
      <c r="D57" s="14" t="s">
        <v>151</v>
      </c>
      <c r="E57" s="13"/>
      <c r="F57" s="15" t="s">
        <v>46</v>
      </c>
      <c r="G57" s="15" t="str" cm="1">
        <f t="array" ref="G57">IF(A57="","",_xlfn.TEXTJOIN(", ",TRUE,_xlfn._xlws.FILTER(Objectives!B$2:B$1000,ISNUMBER(SEARCH(A57,Objectives!D$2:D$1000)),"")))</f>
        <v/>
      </c>
      <c r="H57" s="13"/>
    </row>
    <row r="58" spans="1:8" ht="45">
      <c r="A58" s="5" t="s">
        <v>152</v>
      </c>
      <c r="B58" s="6"/>
      <c r="C58" s="6"/>
      <c r="D58" s="6"/>
      <c r="E58" s="6"/>
      <c r="F58" s="6"/>
      <c r="G58" s="6" t="str" cm="1">
        <f t="array" ref="G58">IF(A58="","",_xlfn.TEXTJOIN(", ",TRUE,_xlfn._xlws.FILTER(Objectives!B$2:B$1000,ISNUMBER(SEARCH(A58,Objectives!D$2:D$1000)),"")))</f>
        <v/>
      </c>
      <c r="H58" s="6"/>
    </row>
    <row r="59" spans="1:8" ht="75">
      <c r="A59" s="27" t="s">
        <v>153</v>
      </c>
      <c r="B59" s="29" t="s">
        <v>154</v>
      </c>
      <c r="C59" s="30" t="s">
        <v>155</v>
      </c>
      <c r="D59" s="25" t="s">
        <v>156</v>
      </c>
      <c r="E59" s="11" t="s">
        <v>117</v>
      </c>
      <c r="F59" s="12" t="s">
        <v>157</v>
      </c>
      <c r="G59" s="34" t="str" cm="1">
        <f t="array" ref="G59">IF(A59="","",_xlfn.TEXTJOIN(", ",TRUE,_xlfn._xlws.FILTER(Objectives!B$2:B$1000,ISNUMBER(SEARCH(A59,Objectives!D$2:D$1000)),"")))</f>
        <v/>
      </c>
      <c r="H59" s="13"/>
    </row>
    <row r="60" spans="1:8" ht="45">
      <c r="A60" s="28"/>
      <c r="B60" s="28"/>
      <c r="C60" s="26"/>
      <c r="D60" s="26"/>
      <c r="E60" s="11" t="s">
        <v>158</v>
      </c>
      <c r="F60" s="12" t="s">
        <v>159</v>
      </c>
      <c r="G60" s="34" t="str" cm="1">
        <f t="array" ref="G60">IF(A60="","",_xlfn.TEXTJOIN(", ",TRUE,_xlfn._xlws.FILTER(Objectives!B$2:B$1000,ISNUMBER(SEARCH(A60,Objectives!D$2:D$1000)),"")))</f>
        <v/>
      </c>
      <c r="H60" s="13"/>
    </row>
    <row r="61" spans="1:8" ht="75">
      <c r="A61" s="28"/>
      <c r="B61" s="28"/>
      <c r="C61" s="9" t="s">
        <v>160</v>
      </c>
      <c r="D61" s="10" t="s">
        <v>161</v>
      </c>
      <c r="E61" s="11" t="s">
        <v>117</v>
      </c>
      <c r="F61" s="12" t="s">
        <v>162</v>
      </c>
      <c r="G61" s="34" t="str" cm="1">
        <f t="array" ref="G61">IF(A61="","",_xlfn.TEXTJOIN(", ",TRUE,_xlfn._xlws.FILTER(Objectives!B$2:B$1000,ISNUMBER(SEARCH(A61,Objectives!D$2:D$1000)),"")))</f>
        <v/>
      </c>
      <c r="H61" s="13"/>
    </row>
    <row r="62" spans="1:8" ht="60">
      <c r="A62" s="26"/>
      <c r="B62" s="26"/>
      <c r="C62" s="9" t="s">
        <v>163</v>
      </c>
      <c r="D62" s="14" t="s">
        <v>164</v>
      </c>
      <c r="E62" s="13"/>
      <c r="F62" s="15" t="s">
        <v>46</v>
      </c>
      <c r="G62" s="15" t="str" cm="1">
        <f t="array" ref="G62">IF(A62="","",_xlfn.TEXTJOIN(", ",TRUE,_xlfn._xlws.FILTER(Objectives!B$2:B$1000,ISNUMBER(SEARCH(A62,Objectives!D$2:D$1000)),"")))</f>
        <v/>
      </c>
      <c r="H62" s="13"/>
    </row>
    <row r="63" spans="1:8" ht="75">
      <c r="A63" s="27" t="s">
        <v>165</v>
      </c>
      <c r="B63" s="29" t="s">
        <v>166</v>
      </c>
      <c r="C63" s="9" t="s">
        <v>10</v>
      </c>
      <c r="D63" s="10" t="s">
        <v>167</v>
      </c>
      <c r="E63" s="11" t="s">
        <v>12</v>
      </c>
      <c r="F63" s="12" t="s">
        <v>13</v>
      </c>
      <c r="G63" s="34" t="str" cm="1">
        <f t="array" ref="G63">IF(A63="","",_xlfn.TEXTJOIN(", ",TRUE,_xlfn._xlws.FILTER(Objectives!B$2:B$1000,ISNUMBER(SEARCH(A63,Objectives!D$2:D$1000)),"")))</f>
        <v/>
      </c>
      <c r="H63" s="13"/>
    </row>
    <row r="64" spans="1:8" ht="60">
      <c r="A64" s="28"/>
      <c r="B64" s="28"/>
      <c r="C64" s="30" t="s">
        <v>168</v>
      </c>
      <c r="D64" s="25" t="s">
        <v>169</v>
      </c>
      <c r="E64" s="11" t="s">
        <v>26</v>
      </c>
      <c r="F64" s="12" t="s">
        <v>170</v>
      </c>
      <c r="G64" s="34" t="str" cm="1">
        <f t="array" ref="G64">IF(A64="","",_xlfn.TEXTJOIN(", ",TRUE,_xlfn._xlws.FILTER(Objectives!B$2:B$1000,ISNUMBER(SEARCH(A64,Objectives!D$2:D$1000)),"")))</f>
        <v/>
      </c>
      <c r="H64" s="13"/>
    </row>
    <row r="65" spans="1:8" ht="45">
      <c r="A65" s="28"/>
      <c r="B65" s="28"/>
      <c r="C65" s="28"/>
      <c r="D65" s="28"/>
      <c r="E65" s="11" t="s">
        <v>171</v>
      </c>
      <c r="F65" s="12" t="s">
        <v>172</v>
      </c>
      <c r="G65" s="34" t="str" cm="1">
        <f t="array" ref="G65">IF(A65="","",_xlfn.TEXTJOIN(", ",TRUE,_xlfn._xlws.FILTER(Objectives!B$2:B$1000,ISNUMBER(SEARCH(A65,Objectives!D$2:D$1000)),"")))</f>
        <v/>
      </c>
      <c r="H65" s="13"/>
    </row>
    <row r="66" spans="1:8" ht="60">
      <c r="A66" s="28"/>
      <c r="B66" s="28"/>
      <c r="C66" s="26"/>
      <c r="D66" s="26"/>
      <c r="E66" s="11" t="s">
        <v>51</v>
      </c>
      <c r="F66" s="12" t="s">
        <v>173</v>
      </c>
      <c r="G66" s="34" t="str" cm="1">
        <f t="array" ref="G66">IF(A66="","",_xlfn.TEXTJOIN(", ",TRUE,_xlfn._xlws.FILTER(Objectives!B$2:B$1000,ISNUMBER(SEARCH(A66,Objectives!D$2:D$1000)),"")))</f>
        <v/>
      </c>
      <c r="H66" s="13"/>
    </row>
    <row r="67" spans="1:8" ht="60">
      <c r="A67" s="28"/>
      <c r="B67" s="28"/>
      <c r="C67" s="9" t="s">
        <v>174</v>
      </c>
      <c r="D67" s="14" t="s">
        <v>175</v>
      </c>
      <c r="E67" s="13"/>
      <c r="F67" s="15" t="s">
        <v>46</v>
      </c>
      <c r="G67" s="15" t="str" cm="1">
        <f t="array" ref="G67">IF(A67="","",_xlfn.TEXTJOIN(", ",TRUE,_xlfn._xlws.FILTER(Objectives!B$2:B$1000,ISNUMBER(SEARCH(A67,Objectives!D$2:D$1000)),"")))</f>
        <v/>
      </c>
      <c r="H67" s="13"/>
    </row>
    <row r="68" spans="1:8" ht="45">
      <c r="A68" s="28"/>
      <c r="B68" s="28"/>
      <c r="C68" s="30" t="s">
        <v>176</v>
      </c>
      <c r="D68" s="25" t="s">
        <v>177</v>
      </c>
      <c r="E68" s="11" t="s">
        <v>40</v>
      </c>
      <c r="F68" s="12" t="s">
        <v>178</v>
      </c>
      <c r="G68" s="34" t="str" cm="1">
        <f t="array" ref="G68">IF(A68="","",_xlfn.TEXTJOIN(", ",TRUE,_xlfn._xlws.FILTER(Objectives!B$2:B$1000,ISNUMBER(SEARCH(A68,Objectives!D$2:D$1000)),"")))</f>
        <v/>
      </c>
      <c r="H68" s="13"/>
    </row>
    <row r="69" spans="1:8" ht="60">
      <c r="A69" s="28"/>
      <c r="B69" s="28"/>
      <c r="C69" s="28"/>
      <c r="D69" s="28"/>
      <c r="E69" s="11" t="s">
        <v>42</v>
      </c>
      <c r="F69" s="12" t="s">
        <v>179</v>
      </c>
      <c r="G69" s="34" t="str" cm="1">
        <f t="array" ref="G69">IF(A69="","",_xlfn.TEXTJOIN(", ",TRUE,_xlfn._xlws.FILTER(Objectives!B$2:B$1000,ISNUMBER(SEARCH(A69,Objectives!D$2:D$1000)),"")))</f>
        <v/>
      </c>
      <c r="H69" s="13"/>
    </row>
    <row r="70" spans="1:8" ht="45">
      <c r="A70" s="26"/>
      <c r="B70" s="26"/>
      <c r="C70" s="26"/>
      <c r="D70" s="26"/>
      <c r="E70" s="11" t="s">
        <v>180</v>
      </c>
      <c r="F70" s="12" t="s">
        <v>181</v>
      </c>
      <c r="G70" s="34" t="str" cm="1">
        <f t="array" ref="G70">IF(A70="","",_xlfn.TEXTJOIN(", ",TRUE,_xlfn._xlws.FILTER(Objectives!B$2:B$1000,ISNUMBER(SEARCH(A70,Objectives!D$2:D$1000)),"")))</f>
        <v/>
      </c>
      <c r="H70" s="13"/>
    </row>
    <row r="71" spans="1:8" ht="45">
      <c r="A71" s="27" t="s">
        <v>182</v>
      </c>
      <c r="B71" s="31" t="s">
        <v>183</v>
      </c>
      <c r="C71" s="30" t="s">
        <v>184</v>
      </c>
      <c r="D71" s="32" t="s">
        <v>185</v>
      </c>
      <c r="E71" s="11" t="s">
        <v>186</v>
      </c>
      <c r="F71" s="12" t="s">
        <v>187</v>
      </c>
      <c r="G71" s="34" t="str" cm="1">
        <f t="array" ref="G71">IF(A71="","",_xlfn.TEXTJOIN(", ",TRUE,_xlfn._xlws.FILTER(Objectives!B$2:B$1000,ISNUMBER(SEARCH(A71,Objectives!D$2:D$1000)),"")))</f>
        <v>Safety, Workload</v>
      </c>
      <c r="H71" s="13"/>
    </row>
    <row r="72" spans="1:8" ht="60">
      <c r="A72" s="28"/>
      <c r="B72" s="28"/>
      <c r="C72" s="26"/>
      <c r="D72" s="26"/>
      <c r="E72" s="11" t="s">
        <v>98</v>
      </c>
      <c r="F72" s="17" t="s">
        <v>188</v>
      </c>
      <c r="G72" s="17" t="str" cm="1">
        <f t="array" ref="G72">IF(A72="","",_xlfn.TEXTJOIN(", ",TRUE,_xlfn._xlws.FILTER(Objectives!B$2:B$1000,ISNUMBER(SEARCH(A72,Objectives!D$2:D$1000)),"")))</f>
        <v/>
      </c>
      <c r="H72" s="13"/>
    </row>
    <row r="73" spans="1:8" ht="60">
      <c r="A73" s="28"/>
      <c r="B73" s="28"/>
      <c r="C73" s="30" t="s">
        <v>76</v>
      </c>
      <c r="D73" s="32" t="s">
        <v>189</v>
      </c>
      <c r="E73" s="11" t="s">
        <v>78</v>
      </c>
      <c r="F73" s="17" t="s">
        <v>79</v>
      </c>
      <c r="G73" s="17" t="str" cm="1">
        <f t="array" ref="G73">IF(A73="","",_xlfn.TEXTJOIN(", ",TRUE,_xlfn._xlws.FILTER(Objectives!B$2:B$1000,ISNUMBER(SEARCH(A73,Objectives!D$2:D$1000)),"")))</f>
        <v/>
      </c>
      <c r="H73" s="13"/>
    </row>
    <row r="74" spans="1:8" ht="90">
      <c r="A74" s="28"/>
      <c r="B74" s="28"/>
      <c r="C74" s="28"/>
      <c r="D74" s="28"/>
      <c r="E74" s="11" t="s">
        <v>80</v>
      </c>
      <c r="F74" s="17" t="s">
        <v>81</v>
      </c>
      <c r="G74" s="17" t="str" cm="1">
        <f t="array" ref="G74">IF(A74="","",_xlfn.TEXTJOIN(", ",TRUE,_xlfn._xlws.FILTER(Objectives!B$2:B$1000,ISNUMBER(SEARCH(A74,Objectives!D$2:D$1000)),"")))</f>
        <v/>
      </c>
      <c r="H74" s="13"/>
    </row>
    <row r="75" spans="1:8" ht="90">
      <c r="A75" s="28"/>
      <c r="B75" s="28"/>
      <c r="C75" s="26"/>
      <c r="D75" s="26"/>
      <c r="E75" s="11" t="s">
        <v>30</v>
      </c>
      <c r="F75" s="12" t="s">
        <v>82</v>
      </c>
      <c r="G75" s="34" t="str" cm="1">
        <f t="array" ref="G75">IF(A75="","",_xlfn.TEXTJOIN(", ",TRUE,_xlfn._xlws.FILTER(Objectives!B$2:B$1000,ISNUMBER(SEARCH(A75,Objectives!D$2:D$1000)),"")))</f>
        <v/>
      </c>
      <c r="H75" s="13"/>
    </row>
    <row r="76" spans="1:8" ht="75">
      <c r="A76" s="28"/>
      <c r="B76" s="28"/>
      <c r="C76" s="30" t="s">
        <v>23</v>
      </c>
      <c r="D76" s="25" t="s">
        <v>190</v>
      </c>
      <c r="E76" s="11" t="s">
        <v>19</v>
      </c>
      <c r="F76" s="12" t="s">
        <v>25</v>
      </c>
      <c r="G76" s="34" t="str" cm="1">
        <f t="array" ref="G76">IF(A76="","",_xlfn.TEXTJOIN(", ",TRUE,_xlfn._xlws.FILTER(Objectives!B$2:B$1000,ISNUMBER(SEARCH(A76,Objectives!D$2:D$1000)),"")))</f>
        <v/>
      </c>
      <c r="H76" s="13"/>
    </row>
    <row r="77" spans="1:8" ht="60">
      <c r="A77" s="28"/>
      <c r="B77" s="28"/>
      <c r="C77" s="28"/>
      <c r="D77" s="28"/>
      <c r="E77" s="11" t="s">
        <v>26</v>
      </c>
      <c r="F77" s="12" t="s">
        <v>27</v>
      </c>
      <c r="G77" s="34" t="str" cm="1">
        <f t="array" ref="G77">IF(A77="","",_xlfn.TEXTJOIN(", ",TRUE,_xlfn._xlws.FILTER(Objectives!B$2:B$1000,ISNUMBER(SEARCH(A77,Objectives!D$2:D$1000)),"")))</f>
        <v/>
      </c>
      <c r="H77" s="13"/>
    </row>
    <row r="78" spans="1:8" ht="60">
      <c r="A78" s="28"/>
      <c r="B78" s="28"/>
      <c r="C78" s="28"/>
      <c r="D78" s="28"/>
      <c r="E78" s="11" t="s">
        <v>28</v>
      </c>
      <c r="F78" s="12" t="s">
        <v>29</v>
      </c>
      <c r="G78" s="34" t="str" cm="1">
        <f t="array" ref="G78">IF(A78="","",_xlfn.TEXTJOIN(", ",TRUE,_xlfn._xlws.FILTER(Objectives!B$2:B$1000,ISNUMBER(SEARCH(A78,Objectives!D$2:D$1000)),"")))</f>
        <v/>
      </c>
      <c r="H78" s="13"/>
    </row>
    <row r="79" spans="1:8" ht="90">
      <c r="A79" s="28"/>
      <c r="B79" s="28"/>
      <c r="C79" s="26"/>
      <c r="D79" s="26"/>
      <c r="E79" s="11" t="s">
        <v>30</v>
      </c>
      <c r="F79" s="12" t="s">
        <v>31</v>
      </c>
      <c r="G79" s="34" t="str" cm="1">
        <f t="array" ref="G79">IF(A79="","",_xlfn.TEXTJOIN(", ",TRUE,_xlfn._xlws.FILTER(Objectives!B$2:B$1000,ISNUMBER(SEARCH(A79,Objectives!D$2:D$1000)),"")))</f>
        <v/>
      </c>
      <c r="H79" s="13"/>
    </row>
    <row r="80" spans="1:8" ht="45">
      <c r="A80" s="28"/>
      <c r="B80" s="28"/>
      <c r="C80" s="30" t="s">
        <v>176</v>
      </c>
      <c r="D80" s="25" t="s">
        <v>191</v>
      </c>
      <c r="E80" s="11" t="s">
        <v>40</v>
      </c>
      <c r="F80" s="12" t="s">
        <v>178</v>
      </c>
      <c r="G80" s="34" t="str" cm="1">
        <f t="array" ref="G80">IF(A80="","",_xlfn.TEXTJOIN(", ",TRUE,_xlfn._xlws.FILTER(Objectives!B$2:B$1000,ISNUMBER(SEARCH(A80,Objectives!D$2:D$1000)),"")))</f>
        <v/>
      </c>
      <c r="H80" s="13"/>
    </row>
    <row r="81" spans="1:8" ht="60">
      <c r="A81" s="28"/>
      <c r="B81" s="28"/>
      <c r="C81" s="28"/>
      <c r="D81" s="28"/>
      <c r="E81" s="11" t="s">
        <v>42</v>
      </c>
      <c r="F81" s="12" t="s">
        <v>179</v>
      </c>
      <c r="G81" s="34" t="str" cm="1">
        <f t="array" ref="G81">IF(A81="","",_xlfn.TEXTJOIN(", ",TRUE,_xlfn._xlws.FILTER(Objectives!B$2:B$1000,ISNUMBER(SEARCH(A81,Objectives!D$2:D$1000)),"")))</f>
        <v/>
      </c>
      <c r="H81" s="13"/>
    </row>
    <row r="82" spans="1:8" ht="45">
      <c r="A82" s="26"/>
      <c r="B82" s="26"/>
      <c r="C82" s="26"/>
      <c r="D82" s="26"/>
      <c r="E82" s="11" t="s">
        <v>180</v>
      </c>
      <c r="F82" s="12" t="s">
        <v>181</v>
      </c>
      <c r="G82" s="34" t="str" cm="1">
        <f t="array" ref="G82">IF(A82="","",_xlfn.TEXTJOIN(", ",TRUE,_xlfn._xlws.FILTER(Objectives!B$2:B$1000,ISNUMBER(SEARCH(A82,Objectives!D$2:D$1000)),"")))</f>
        <v/>
      </c>
      <c r="H82" s="13"/>
    </row>
    <row r="83" spans="1:8" ht="75">
      <c r="A83" s="27" t="s">
        <v>192</v>
      </c>
      <c r="B83" s="29" t="s">
        <v>193</v>
      </c>
      <c r="C83" s="30" t="s">
        <v>17</v>
      </c>
      <c r="D83" s="25" t="s">
        <v>194</v>
      </c>
      <c r="E83" s="11" t="s">
        <v>19</v>
      </c>
      <c r="F83" s="12" t="s">
        <v>20</v>
      </c>
      <c r="G83" s="34" t="str" cm="1">
        <f t="array" ref="G83">IF(A83="","",_xlfn.TEXTJOIN(", ",TRUE,_xlfn._xlws.FILTER(Objectives!B$2:B$1000,ISNUMBER(SEARCH(A83,Objectives!D$2:D$1000)),"")))</f>
        <v/>
      </c>
      <c r="H83" s="13"/>
    </row>
    <row r="84" spans="1:8" ht="45">
      <c r="A84" s="26"/>
      <c r="B84" s="26"/>
      <c r="C84" s="26"/>
      <c r="D84" s="26"/>
      <c r="E84" s="11" t="s">
        <v>21</v>
      </c>
      <c r="F84" s="12" t="s">
        <v>22</v>
      </c>
      <c r="G84" s="34" t="str" cm="1">
        <f t="array" ref="G84">IF(A84="","",_xlfn.TEXTJOIN(", ",TRUE,_xlfn._xlws.FILTER(Objectives!B$2:B$1000,ISNUMBER(SEARCH(A84,Objectives!D$2:D$1000)),"")))</f>
        <v/>
      </c>
      <c r="H84" s="13"/>
    </row>
    <row r="85" spans="1:8" ht="60">
      <c r="A85" s="7" t="s">
        <v>195</v>
      </c>
      <c r="B85" s="14" t="s">
        <v>196</v>
      </c>
      <c r="C85" s="9" t="s">
        <v>197</v>
      </c>
      <c r="D85" s="14" t="s">
        <v>198</v>
      </c>
      <c r="E85" s="13"/>
      <c r="F85" s="15" t="s">
        <v>46</v>
      </c>
      <c r="G85" s="15" t="str" cm="1">
        <f t="array" ref="G85">IF(A85="","",_xlfn.TEXTJOIN(", ",TRUE,_xlfn._xlws.FILTER(Objectives!B$2:B$1000,ISNUMBER(SEARCH(A85,Objectives!D$2:D$1000)),"")))</f>
        <v/>
      </c>
      <c r="H85" s="13"/>
    </row>
    <row r="86" spans="1:8" ht="75">
      <c r="A86" s="27" t="s">
        <v>199</v>
      </c>
      <c r="B86" s="31" t="s">
        <v>200</v>
      </c>
      <c r="C86" s="30" t="s">
        <v>94</v>
      </c>
      <c r="D86" s="25" t="s">
        <v>201</v>
      </c>
      <c r="E86" s="11" t="s">
        <v>96</v>
      </c>
      <c r="F86" s="12" t="s">
        <v>97</v>
      </c>
      <c r="G86" s="34" t="str" cm="1">
        <f t="array" ref="G86">IF(A86="","",_xlfn.TEXTJOIN(", ",TRUE,_xlfn._xlws.FILTER(Objectives!B$2:B$1000,ISNUMBER(SEARCH(A86,Objectives!D$2:D$1000)),"")))</f>
        <v>Safety</v>
      </c>
      <c r="H86" s="13"/>
    </row>
    <row r="87" spans="1:8" ht="60">
      <c r="A87" s="28"/>
      <c r="B87" s="28"/>
      <c r="C87" s="28"/>
      <c r="D87" s="28"/>
      <c r="E87" s="11" t="s">
        <v>98</v>
      </c>
      <c r="F87" s="17" t="s">
        <v>99</v>
      </c>
      <c r="G87" s="17" t="str" cm="1">
        <f t="array" ref="G87">IF(A87="","",_xlfn.TEXTJOIN(", ",TRUE,_xlfn._xlws.FILTER(Objectives!B$2:B$1000,ISNUMBER(SEARCH(A87,Objectives!D$2:D$1000)),"")))</f>
        <v/>
      </c>
      <c r="H87" s="13"/>
    </row>
    <row r="88" spans="1:8" ht="60">
      <c r="A88" s="28"/>
      <c r="B88" s="28"/>
      <c r="C88" s="26"/>
      <c r="D88" s="26"/>
      <c r="E88" s="11" t="s">
        <v>100</v>
      </c>
      <c r="F88" s="12" t="s">
        <v>101</v>
      </c>
      <c r="G88" s="34" t="str" cm="1">
        <f t="array" ref="G88">IF(A88="","",_xlfn.TEXTJOIN(", ",TRUE,_xlfn._xlws.FILTER(Objectives!B$2:B$1000,ISNUMBER(SEARCH(A88,Objectives!D$2:D$1000)),"")))</f>
        <v/>
      </c>
      <c r="H88" s="13"/>
    </row>
    <row r="89" spans="1:8" ht="30">
      <c r="A89" s="28"/>
      <c r="B89" s="28"/>
      <c r="C89" s="30" t="s">
        <v>102</v>
      </c>
      <c r="D89" s="25" t="s">
        <v>202</v>
      </c>
      <c r="E89" s="11" t="s">
        <v>104</v>
      </c>
      <c r="F89" s="12" t="s">
        <v>105</v>
      </c>
      <c r="G89" s="34" t="str" cm="1">
        <f t="array" ref="G89">IF(A89="","",_xlfn.TEXTJOIN(", ",TRUE,_xlfn._xlws.FILTER(Objectives!B$2:B$1000,ISNUMBER(SEARCH(A89,Objectives!D$2:D$1000)),"")))</f>
        <v/>
      </c>
      <c r="H89" s="13"/>
    </row>
    <row r="90" spans="1:8" ht="60">
      <c r="A90" s="26"/>
      <c r="B90" s="26"/>
      <c r="C90" s="26"/>
      <c r="D90" s="26"/>
      <c r="E90" s="11" t="s">
        <v>100</v>
      </c>
      <c r="F90" s="12" t="s">
        <v>106</v>
      </c>
      <c r="G90" s="34" t="str" cm="1">
        <f t="array" ref="G90">IF(A90="","",_xlfn.TEXTJOIN(", ",TRUE,_xlfn._xlws.FILTER(Objectives!B$2:B$1000,ISNUMBER(SEARCH(A90,Objectives!D$2:D$1000)),"")))</f>
        <v/>
      </c>
      <c r="H90" s="13"/>
    </row>
    <row r="91" spans="1:8" ht="60">
      <c r="A91" s="27" t="s">
        <v>203</v>
      </c>
      <c r="B91" s="31" t="s">
        <v>204</v>
      </c>
      <c r="C91" s="30" t="s">
        <v>168</v>
      </c>
      <c r="D91" s="25" t="s">
        <v>205</v>
      </c>
      <c r="E91" s="11" t="s">
        <v>26</v>
      </c>
      <c r="F91" s="12" t="s">
        <v>170</v>
      </c>
      <c r="G91" s="34" t="str" cm="1">
        <f t="array" ref="G91">IF(A91="","",_xlfn.TEXTJOIN(", ",TRUE,_xlfn._xlws.FILTER(Objectives!B$2:B$1000,ISNUMBER(SEARCH(A91,Objectives!D$2:D$1000)),"")))</f>
        <v>Safety, Procedural compliance</v>
      </c>
      <c r="H91" s="13"/>
    </row>
    <row r="92" spans="1:8" ht="45">
      <c r="A92" s="28"/>
      <c r="B92" s="28"/>
      <c r="C92" s="28"/>
      <c r="D92" s="28"/>
      <c r="E92" s="11" t="s">
        <v>171</v>
      </c>
      <c r="F92" s="12" t="s">
        <v>172</v>
      </c>
      <c r="G92" s="34" t="str" cm="1">
        <f t="array" ref="G92">IF(A92="","",_xlfn.TEXTJOIN(", ",TRUE,_xlfn._xlws.FILTER(Objectives!B$2:B$1000,ISNUMBER(SEARCH(A92,Objectives!D$2:D$1000)),"")))</f>
        <v/>
      </c>
      <c r="H92" s="13"/>
    </row>
    <row r="93" spans="1:8" ht="60">
      <c r="A93" s="26"/>
      <c r="B93" s="26"/>
      <c r="C93" s="26"/>
      <c r="D93" s="26"/>
      <c r="E93" s="11" t="s">
        <v>51</v>
      </c>
      <c r="F93" s="12" t="s">
        <v>173</v>
      </c>
      <c r="G93" s="34" t="str" cm="1">
        <f t="array" ref="G93">IF(A93="","",_xlfn.TEXTJOIN(", ",TRUE,_xlfn._xlws.FILTER(Objectives!B$2:B$1000,ISNUMBER(SEARCH(A93,Objectives!D$2:D$1000)),"")))</f>
        <v/>
      </c>
      <c r="H93" s="13"/>
    </row>
    <row r="94" spans="1:8" ht="45">
      <c r="A94" s="27" t="s">
        <v>206</v>
      </c>
      <c r="B94" s="31" t="s">
        <v>207</v>
      </c>
      <c r="C94" s="30" t="s">
        <v>59</v>
      </c>
      <c r="D94" s="25" t="s">
        <v>208</v>
      </c>
      <c r="E94" s="11" t="s">
        <v>40</v>
      </c>
      <c r="F94" s="12" t="s">
        <v>61</v>
      </c>
      <c r="G94" s="34" t="str" cm="1">
        <f t="array" ref="G94">IF(A94="","",_xlfn.TEXTJOIN(", ",TRUE,_xlfn._xlws.FILTER(Objectives!B$2:B$1000,ISNUMBER(SEARCH(A94,Objectives!D$2:D$1000)),"")))</f>
        <v>Workload, Procedural compliance</v>
      </c>
      <c r="H94" s="13"/>
    </row>
    <row r="95" spans="1:8" ht="60">
      <c r="A95" s="28"/>
      <c r="B95" s="28"/>
      <c r="C95" s="28"/>
      <c r="D95" s="28"/>
      <c r="E95" s="11" t="s">
        <v>42</v>
      </c>
      <c r="F95" s="12" t="s">
        <v>62</v>
      </c>
      <c r="G95" s="34" t="str" cm="1">
        <f t="array" ref="G95">IF(A95="","",_xlfn.TEXTJOIN(", ",TRUE,_xlfn._xlws.FILTER(Objectives!B$2:B$1000,ISNUMBER(SEARCH(A95,Objectives!D$2:D$1000)),"")))</f>
        <v/>
      </c>
      <c r="H95" s="13"/>
    </row>
    <row r="96" spans="1:8" ht="45">
      <c r="A96" s="26"/>
      <c r="B96" s="26"/>
      <c r="C96" s="26"/>
      <c r="D96" s="26"/>
      <c r="E96" s="11" t="s">
        <v>63</v>
      </c>
      <c r="F96" s="12" t="s">
        <v>64</v>
      </c>
      <c r="G96" s="34" t="str" cm="1">
        <f t="array" ref="G96">IF(A96="","",_xlfn.TEXTJOIN(", ",TRUE,_xlfn._xlws.FILTER(Objectives!B$2:B$1000,ISNUMBER(SEARCH(A96,Objectives!D$2:D$1000)),"")))</f>
        <v/>
      </c>
      <c r="H96" s="13"/>
    </row>
    <row r="97" spans="1:8" ht="45">
      <c r="A97" s="5" t="s">
        <v>209</v>
      </c>
      <c r="B97" s="6"/>
      <c r="C97" s="6"/>
      <c r="D97" s="6"/>
      <c r="E97" s="6"/>
      <c r="F97" s="6"/>
      <c r="G97" s="6" t="str" cm="1">
        <f t="array" ref="G97">IF(A97="","",_xlfn.TEXTJOIN(", ",TRUE,_xlfn._xlws.FILTER(Objectives!B$2:B$1000,ISNUMBER(SEARCH(A97,Objectives!D$2:D$1000)),"")))</f>
        <v/>
      </c>
      <c r="H97" s="6"/>
    </row>
    <row r="98" spans="1:8" ht="75">
      <c r="A98" s="27" t="s">
        <v>210</v>
      </c>
      <c r="B98" s="33" t="s">
        <v>211</v>
      </c>
      <c r="C98" s="9" t="s">
        <v>212</v>
      </c>
      <c r="D98" s="10" t="s">
        <v>213</v>
      </c>
      <c r="E98" s="11" t="s">
        <v>12</v>
      </c>
      <c r="F98" s="12" t="s">
        <v>214</v>
      </c>
      <c r="G98" s="34" t="str" cm="1">
        <f t="array" ref="G98">IF(A98="","",_xlfn.TEXTJOIN(", ",TRUE,_xlfn._xlws.FILTER(Objectives!B$2:B$1000,ISNUMBER(SEARCH(A98,Objectives!D$2:D$1000)),"")))</f>
        <v/>
      </c>
      <c r="H98" s="13"/>
    </row>
    <row r="99" spans="1:8" ht="75">
      <c r="A99" s="28"/>
      <c r="B99" s="28"/>
      <c r="C99" s="30" t="s">
        <v>155</v>
      </c>
      <c r="D99" s="25" t="s">
        <v>215</v>
      </c>
      <c r="E99" s="11" t="s">
        <v>117</v>
      </c>
      <c r="F99" s="12" t="s">
        <v>157</v>
      </c>
      <c r="G99" s="34" t="str" cm="1">
        <f t="array" ref="G99">IF(A99="","",_xlfn.TEXTJOIN(", ",TRUE,_xlfn._xlws.FILTER(Objectives!B$2:B$1000,ISNUMBER(SEARCH(A99,Objectives!D$2:D$1000)),"")))</f>
        <v/>
      </c>
      <c r="H99" s="13"/>
    </row>
    <row r="100" spans="1:8" ht="45">
      <c r="A100" s="28"/>
      <c r="B100" s="28"/>
      <c r="C100" s="26"/>
      <c r="D100" s="26"/>
      <c r="E100" s="11" t="s">
        <v>158</v>
      </c>
      <c r="F100" s="12" t="s">
        <v>159</v>
      </c>
      <c r="G100" s="34" t="str" cm="1">
        <f t="array" ref="G100">IF(A100="","",_xlfn.TEXTJOIN(", ",TRUE,_xlfn._xlws.FILTER(Objectives!B$2:B$1000,ISNUMBER(SEARCH(A100,Objectives!D$2:D$1000)),"")))</f>
        <v/>
      </c>
      <c r="H100" s="13"/>
    </row>
    <row r="101" spans="1:8" ht="60">
      <c r="A101" s="28"/>
      <c r="B101" s="28"/>
      <c r="C101" s="9" t="s">
        <v>197</v>
      </c>
      <c r="D101" s="14" t="s">
        <v>216</v>
      </c>
      <c r="E101" s="13"/>
      <c r="F101" s="15" t="s">
        <v>46</v>
      </c>
      <c r="G101" s="15" t="str" cm="1">
        <f t="array" ref="G101">IF(A101="","",_xlfn.TEXTJOIN(", ",TRUE,_xlfn._xlws.FILTER(Objectives!B$2:B$1000,ISNUMBER(SEARCH(A101,Objectives!D$2:D$1000)),"")))</f>
        <v/>
      </c>
      <c r="H101" s="13"/>
    </row>
    <row r="102" spans="1:8" ht="75">
      <c r="A102" s="28"/>
      <c r="B102" s="28"/>
      <c r="C102" s="9" t="s">
        <v>160</v>
      </c>
      <c r="D102" s="10" t="s">
        <v>217</v>
      </c>
      <c r="E102" s="11" t="s">
        <v>117</v>
      </c>
      <c r="F102" s="12" t="s">
        <v>162</v>
      </c>
      <c r="G102" s="34" t="str" cm="1">
        <f t="array" ref="G102">IF(A102="","",_xlfn.TEXTJOIN(", ",TRUE,_xlfn._xlws.FILTER(Objectives!B$2:B$1000,ISNUMBER(SEARCH(A102,Objectives!D$2:D$1000)),"")))</f>
        <v/>
      </c>
      <c r="H102" s="13"/>
    </row>
    <row r="103" spans="1:8" ht="45">
      <c r="A103" s="28"/>
      <c r="B103" s="28"/>
      <c r="C103" s="30" t="s">
        <v>176</v>
      </c>
      <c r="D103" s="25" t="s">
        <v>218</v>
      </c>
      <c r="E103" s="11" t="s">
        <v>40</v>
      </c>
      <c r="F103" s="12" t="s">
        <v>178</v>
      </c>
      <c r="G103" s="34" t="str" cm="1">
        <f t="array" ref="G103">IF(A103="","",_xlfn.TEXTJOIN(", ",TRUE,_xlfn._xlws.FILTER(Objectives!B$2:B$1000,ISNUMBER(SEARCH(A103,Objectives!D$2:D$1000)),"")))</f>
        <v/>
      </c>
      <c r="H103" s="13"/>
    </row>
    <row r="104" spans="1:8" ht="60">
      <c r="A104" s="28"/>
      <c r="B104" s="28"/>
      <c r="C104" s="28"/>
      <c r="D104" s="28"/>
      <c r="E104" s="11" t="s">
        <v>42</v>
      </c>
      <c r="F104" s="12" t="s">
        <v>179</v>
      </c>
      <c r="G104" s="34" t="str" cm="1">
        <f t="array" ref="G104">IF(A104="","",_xlfn.TEXTJOIN(", ",TRUE,_xlfn._xlws.FILTER(Objectives!B$2:B$1000,ISNUMBER(SEARCH(A104,Objectives!D$2:D$1000)),"")))</f>
        <v/>
      </c>
      <c r="H104" s="13"/>
    </row>
    <row r="105" spans="1:8" ht="45">
      <c r="A105" s="28"/>
      <c r="B105" s="28"/>
      <c r="C105" s="26"/>
      <c r="D105" s="26"/>
      <c r="E105" s="11" t="s">
        <v>180</v>
      </c>
      <c r="F105" s="12" t="s">
        <v>181</v>
      </c>
      <c r="G105" s="34" t="str" cm="1">
        <f t="array" ref="G105">IF(A105="","",_xlfn.TEXTJOIN(", ",TRUE,_xlfn._xlws.FILTER(Objectives!B$2:B$1000,ISNUMBER(SEARCH(A105,Objectives!D$2:D$1000)),"")))</f>
        <v/>
      </c>
      <c r="H105" s="13"/>
    </row>
    <row r="106" spans="1:8" ht="75">
      <c r="A106" s="26"/>
      <c r="B106" s="26"/>
      <c r="C106" s="9" t="s">
        <v>219</v>
      </c>
      <c r="D106" s="10" t="s">
        <v>220</v>
      </c>
      <c r="E106" s="11" t="s">
        <v>221</v>
      </c>
      <c r="F106" s="12" t="s">
        <v>222</v>
      </c>
      <c r="G106" s="34" t="str" cm="1">
        <f t="array" ref="G106">IF(A106="","",_xlfn.TEXTJOIN(", ",TRUE,_xlfn._xlws.FILTER(Objectives!B$2:B$1000,ISNUMBER(SEARCH(A106,Objectives!D$2:D$1000)),"")))</f>
        <v/>
      </c>
      <c r="H106" s="13"/>
    </row>
    <row r="107" spans="1:8" ht="75">
      <c r="A107" s="27" t="s">
        <v>223</v>
      </c>
      <c r="B107" s="29" t="s">
        <v>224</v>
      </c>
      <c r="C107" s="30" t="s">
        <v>155</v>
      </c>
      <c r="D107" s="25" t="s">
        <v>225</v>
      </c>
      <c r="E107" s="11" t="s">
        <v>117</v>
      </c>
      <c r="F107" s="12" t="s">
        <v>157</v>
      </c>
      <c r="G107" s="34" t="str" cm="1">
        <f t="array" ref="G107">IF(A107="","",_xlfn.TEXTJOIN(", ",TRUE,_xlfn._xlws.FILTER(Objectives!B$2:B$1000,ISNUMBER(SEARCH(A107,Objectives!D$2:D$1000)),"")))</f>
        <v/>
      </c>
      <c r="H107" s="13"/>
    </row>
    <row r="108" spans="1:8" ht="45">
      <c r="A108" s="28"/>
      <c r="B108" s="28"/>
      <c r="C108" s="26"/>
      <c r="D108" s="26"/>
      <c r="E108" s="11" t="s">
        <v>158</v>
      </c>
      <c r="F108" s="12" t="s">
        <v>159</v>
      </c>
      <c r="G108" s="34" t="str" cm="1">
        <f t="array" ref="G108">IF(A108="","",_xlfn.TEXTJOIN(", ",TRUE,_xlfn._xlws.FILTER(Objectives!B$2:B$1000,ISNUMBER(SEARCH(A108,Objectives!D$2:D$1000)),"")))</f>
        <v/>
      </c>
      <c r="H108" s="13"/>
    </row>
    <row r="109" spans="1:8" ht="75">
      <c r="A109" s="28"/>
      <c r="B109" s="28"/>
      <c r="C109" s="9" t="s">
        <v>109</v>
      </c>
      <c r="D109" s="14" t="s">
        <v>226</v>
      </c>
      <c r="E109" s="13"/>
      <c r="F109" s="15" t="s">
        <v>46</v>
      </c>
      <c r="G109" s="15" t="str" cm="1">
        <f t="array" ref="G109">IF(A109="","",_xlfn.TEXTJOIN(", ",TRUE,_xlfn._xlws.FILTER(Objectives!B$2:B$1000,ISNUMBER(SEARCH(A109,Objectives!D$2:D$1000)),"")))</f>
        <v/>
      </c>
      <c r="H109" s="13"/>
    </row>
    <row r="110" spans="1:8" ht="60">
      <c r="A110" s="28"/>
      <c r="B110" s="28"/>
      <c r="C110" s="9" t="s">
        <v>163</v>
      </c>
      <c r="D110" s="14" t="s">
        <v>227</v>
      </c>
      <c r="E110" s="13"/>
      <c r="F110" s="15" t="s">
        <v>46</v>
      </c>
      <c r="G110" s="15" t="str" cm="1">
        <f t="array" ref="G110">IF(A110="","",_xlfn.TEXTJOIN(", ",TRUE,_xlfn._xlws.FILTER(Objectives!B$2:B$1000,ISNUMBER(SEARCH(A110,Objectives!D$2:D$1000)),"")))</f>
        <v/>
      </c>
      <c r="H110" s="13"/>
    </row>
    <row r="111" spans="1:8" ht="75">
      <c r="A111" s="26"/>
      <c r="B111" s="26"/>
      <c r="C111" s="9" t="s">
        <v>219</v>
      </c>
      <c r="D111" s="10" t="s">
        <v>228</v>
      </c>
      <c r="E111" s="11" t="s">
        <v>221</v>
      </c>
      <c r="F111" s="12" t="s">
        <v>222</v>
      </c>
      <c r="G111" s="34" t="str" cm="1">
        <f t="array" ref="G111">IF(A111="","",_xlfn.TEXTJOIN(", ",TRUE,_xlfn._xlws.FILTER(Objectives!B$2:B$1000,ISNUMBER(SEARCH(A111,Objectives!D$2:D$1000)),"")))</f>
        <v/>
      </c>
      <c r="H111" s="13"/>
    </row>
    <row r="112" spans="1:8" ht="90">
      <c r="A112" s="5" t="s">
        <v>229</v>
      </c>
      <c r="B112" s="6"/>
      <c r="C112" s="6"/>
      <c r="D112" s="6"/>
      <c r="E112" s="6"/>
      <c r="F112" s="6"/>
      <c r="G112" s="6" t="str" cm="1">
        <f t="array" ref="G112">IF(A112="","",_xlfn.TEXTJOIN(", ",TRUE,_xlfn._xlws.FILTER(Objectives!B$2:B$1000,ISNUMBER(SEARCH(A112,Objectives!D$2:D$1000)),"")))</f>
        <v/>
      </c>
      <c r="H112" s="6"/>
    </row>
    <row r="113" spans="1:8" ht="60">
      <c r="A113" s="27" t="s">
        <v>230</v>
      </c>
      <c r="B113" s="33" t="s">
        <v>231</v>
      </c>
      <c r="C113" s="9" t="s">
        <v>72</v>
      </c>
      <c r="D113" s="16" t="s">
        <v>232</v>
      </c>
      <c r="E113" s="11" t="s">
        <v>74</v>
      </c>
      <c r="F113" s="17" t="s">
        <v>75</v>
      </c>
      <c r="G113" s="17" t="str" cm="1">
        <f t="array" ref="G113">IF(A113="","",_xlfn.TEXTJOIN(", ",TRUE,_xlfn._xlws.FILTER(Objectives!B$2:B$1000,ISNUMBER(SEARCH(A113,Objectives!D$2:D$1000)),"")))</f>
        <v/>
      </c>
      <c r="H113" s="13"/>
    </row>
    <row r="114" spans="1:8" ht="60">
      <c r="A114" s="28"/>
      <c r="B114" s="28"/>
      <c r="C114" s="9" t="s">
        <v>233</v>
      </c>
      <c r="D114" s="14" t="s">
        <v>234</v>
      </c>
      <c r="E114" s="13"/>
      <c r="F114" s="15" t="s">
        <v>46</v>
      </c>
      <c r="G114" s="15" t="str" cm="1">
        <f t="array" ref="G114">IF(A114="","",_xlfn.TEXTJOIN(", ",TRUE,_xlfn._xlws.FILTER(Objectives!B$2:B$1000,ISNUMBER(SEARCH(A114,Objectives!D$2:D$1000)),"")))</f>
        <v/>
      </c>
      <c r="H114" s="13"/>
    </row>
    <row r="115" spans="1:8" ht="60">
      <c r="A115" s="26"/>
      <c r="B115" s="26"/>
      <c r="C115" s="9" t="s">
        <v>32</v>
      </c>
      <c r="D115" s="10" t="s">
        <v>235</v>
      </c>
      <c r="E115" s="11" t="s">
        <v>34</v>
      </c>
      <c r="F115" s="12" t="s">
        <v>35</v>
      </c>
      <c r="G115" s="34" t="str" cm="1">
        <f t="array" ref="G115">IF(A115="","",_xlfn.TEXTJOIN(", ",TRUE,_xlfn._xlws.FILTER(Objectives!B$2:B$1000,ISNUMBER(SEARCH(A115,Objectives!D$2:D$1000)),"")))</f>
        <v/>
      </c>
      <c r="H115" s="13"/>
    </row>
    <row r="116" spans="1:8" ht="45">
      <c r="A116" s="7" t="s">
        <v>236</v>
      </c>
      <c r="B116" s="14" t="s">
        <v>237</v>
      </c>
      <c r="C116" s="9" t="s">
        <v>238</v>
      </c>
      <c r="D116" s="14" t="s">
        <v>239</v>
      </c>
      <c r="E116" s="13"/>
      <c r="F116" s="15" t="s">
        <v>46</v>
      </c>
      <c r="G116" s="15" t="str" cm="1">
        <f t="array" ref="G116">IF(A116="","",_xlfn.TEXTJOIN(", ",TRUE,_xlfn._xlws.FILTER(Objectives!B$2:B$1000,ISNUMBER(SEARCH(A116,Objectives!D$2:D$1000)),"")))</f>
        <v/>
      </c>
      <c r="H116" s="13"/>
    </row>
    <row r="117" spans="1:8" ht="45">
      <c r="A117" s="5" t="s">
        <v>240</v>
      </c>
      <c r="B117" s="6"/>
      <c r="C117" s="6"/>
      <c r="D117" s="6"/>
      <c r="E117" s="6"/>
      <c r="F117" s="6"/>
      <c r="G117" s="6" t="str" cm="1">
        <f t="array" ref="G117">IF(A117="","",_xlfn.TEXTJOIN(", ",TRUE,_xlfn._xlws.FILTER(Objectives!B$2:B$1000,ISNUMBER(SEARCH(A117,Objectives!D$2:D$1000)),"")))</f>
        <v/>
      </c>
      <c r="H117" s="6"/>
    </row>
    <row r="118" spans="1:8" ht="45">
      <c r="A118" s="27" t="s">
        <v>241</v>
      </c>
      <c r="B118" s="29" t="s">
        <v>242</v>
      </c>
      <c r="C118" s="30" t="s">
        <v>38</v>
      </c>
      <c r="D118" s="25" t="s">
        <v>243</v>
      </c>
      <c r="E118" s="11" t="s">
        <v>40</v>
      </c>
      <c r="F118" s="12" t="s">
        <v>41</v>
      </c>
      <c r="G118" s="34" t="str" cm="1">
        <f t="array" ref="G118">IF(A118="","",_xlfn.TEXTJOIN(", ",TRUE,_xlfn._xlws.FILTER(Objectives!B$2:B$1000,ISNUMBER(SEARCH(A118,Objectives!D$2:D$1000)),"")))</f>
        <v/>
      </c>
      <c r="H118" s="13"/>
    </row>
    <row r="119" spans="1:8" ht="60">
      <c r="A119" s="28"/>
      <c r="B119" s="28"/>
      <c r="C119" s="26"/>
      <c r="D119" s="26"/>
      <c r="E119" s="11" t="s">
        <v>42</v>
      </c>
      <c r="F119" s="12" t="s">
        <v>43</v>
      </c>
      <c r="G119" s="34" t="str" cm="1">
        <f t="array" ref="G119">IF(A119="","",_xlfn.TEXTJOIN(", ",TRUE,_xlfn._xlws.FILTER(Objectives!B$2:B$1000,ISNUMBER(SEARCH(A119,Objectives!D$2:D$1000)),"")))</f>
        <v/>
      </c>
      <c r="H119" s="13"/>
    </row>
    <row r="120" spans="1:8" ht="45">
      <c r="A120" s="26"/>
      <c r="B120" s="26"/>
      <c r="C120" s="9" t="s">
        <v>44</v>
      </c>
      <c r="D120" s="14" t="s">
        <v>244</v>
      </c>
      <c r="E120" s="13"/>
      <c r="F120" s="15" t="s">
        <v>46</v>
      </c>
      <c r="G120" s="15" t="str" cm="1">
        <f t="array" ref="G120">IF(A120="","",_xlfn.TEXTJOIN(", ",TRUE,_xlfn._xlws.FILTER(Objectives!B$2:B$1000,ISNUMBER(SEARCH(A120,Objectives!D$2:D$1000)),"")))</f>
        <v/>
      </c>
      <c r="H120" s="13"/>
    </row>
    <row r="121" spans="1:8" ht="75">
      <c r="A121" s="7" t="s">
        <v>245</v>
      </c>
      <c r="B121" s="14" t="s">
        <v>246</v>
      </c>
      <c r="C121" s="9" t="s">
        <v>129</v>
      </c>
      <c r="D121" s="14" t="s">
        <v>247</v>
      </c>
      <c r="E121" s="13"/>
      <c r="F121" s="15" t="s">
        <v>46</v>
      </c>
      <c r="G121" s="15" t="str" cm="1">
        <f t="array" ref="G121">IF(A121="","",_xlfn.TEXTJOIN(", ",TRUE,_xlfn._xlws.FILTER(Objectives!B$2:B$1000,ISNUMBER(SEARCH(A121,Objectives!D$2:D$1000)),"")))</f>
        <v/>
      </c>
      <c r="H121" s="13"/>
    </row>
    <row r="122" spans="1:8" ht="60">
      <c r="A122" s="7" t="s">
        <v>248</v>
      </c>
      <c r="B122" s="14" t="s">
        <v>249</v>
      </c>
      <c r="C122" s="9" t="s">
        <v>233</v>
      </c>
      <c r="D122" s="14" t="s">
        <v>250</v>
      </c>
      <c r="E122" s="13"/>
      <c r="F122" s="15" t="s">
        <v>46</v>
      </c>
      <c r="G122" s="15" t="str" cm="1">
        <f t="array" ref="G122">IF(A122="","",_xlfn.TEXTJOIN(", ",TRUE,_xlfn._xlws.FILTER(Objectives!B$2:B$1000,ISNUMBER(SEARCH(A122,Objectives!D$2:D$1000)),"")))</f>
        <v/>
      </c>
      <c r="H122" s="13"/>
    </row>
    <row r="123" spans="1:8" ht="45">
      <c r="A123" s="5" t="s">
        <v>251</v>
      </c>
      <c r="B123" s="6"/>
      <c r="C123" s="6"/>
      <c r="D123" s="6"/>
      <c r="E123" s="6"/>
      <c r="F123" s="6"/>
      <c r="G123" s="6" t="str" cm="1">
        <f t="array" ref="G123">IF(A123="","",_xlfn.TEXTJOIN(", ",TRUE,_xlfn._xlws.FILTER(Objectives!B$2:B$1000,ISNUMBER(SEARCH(A123,Objectives!D$2:D$1000)),"")))</f>
        <v/>
      </c>
      <c r="H123" s="6"/>
    </row>
    <row r="124" spans="1:8" ht="75">
      <c r="A124" s="27" t="s">
        <v>252</v>
      </c>
      <c r="B124" s="29" t="s">
        <v>253</v>
      </c>
      <c r="C124" s="9" t="s">
        <v>212</v>
      </c>
      <c r="D124" s="10" t="s">
        <v>254</v>
      </c>
      <c r="E124" s="11" t="s">
        <v>12</v>
      </c>
      <c r="F124" s="12" t="s">
        <v>214</v>
      </c>
      <c r="G124" s="34" t="str" cm="1">
        <f t="array" ref="G124">IF(A124="","",_xlfn.TEXTJOIN(", ",TRUE,_xlfn._xlws.FILTER(Objectives!B$2:B$1000,ISNUMBER(SEARCH(A124,Objectives!D$2:D$1000)),"")))</f>
        <v/>
      </c>
      <c r="H124" s="13"/>
    </row>
    <row r="125" spans="1:8" ht="75">
      <c r="A125" s="28"/>
      <c r="B125" s="28"/>
      <c r="C125" s="30" t="s">
        <v>94</v>
      </c>
      <c r="D125" s="25" t="s">
        <v>255</v>
      </c>
      <c r="E125" s="11" t="s">
        <v>96</v>
      </c>
      <c r="F125" s="12" t="s">
        <v>97</v>
      </c>
      <c r="G125" s="34" t="str" cm="1">
        <f t="array" ref="G125">IF(A125="","",_xlfn.TEXTJOIN(", ",TRUE,_xlfn._xlws.FILTER(Objectives!B$2:B$1000,ISNUMBER(SEARCH(A125,Objectives!D$2:D$1000)),"")))</f>
        <v/>
      </c>
      <c r="H125" s="13"/>
    </row>
    <row r="126" spans="1:8" ht="60">
      <c r="A126" s="28"/>
      <c r="B126" s="28"/>
      <c r="C126" s="28"/>
      <c r="D126" s="28"/>
      <c r="E126" s="11" t="s">
        <v>98</v>
      </c>
      <c r="F126" s="17" t="s">
        <v>99</v>
      </c>
      <c r="G126" s="17" t="str" cm="1">
        <f t="array" ref="G126">IF(A126="","",_xlfn.TEXTJOIN(", ",TRUE,_xlfn._xlws.FILTER(Objectives!B$2:B$1000,ISNUMBER(SEARCH(A126,Objectives!D$2:D$1000)),"")))</f>
        <v/>
      </c>
      <c r="H126" s="13"/>
    </row>
    <row r="127" spans="1:8" ht="60">
      <c r="A127" s="28"/>
      <c r="B127" s="28"/>
      <c r="C127" s="26"/>
      <c r="D127" s="26"/>
      <c r="E127" s="11" t="s">
        <v>100</v>
      </c>
      <c r="F127" s="12" t="s">
        <v>101</v>
      </c>
      <c r="G127" s="34" t="str" cm="1">
        <f t="array" ref="G127">IF(A127="","",_xlfn.TEXTJOIN(", ",TRUE,_xlfn._xlws.FILTER(Objectives!B$2:B$1000,ISNUMBER(SEARCH(A127,Objectives!D$2:D$1000)),"")))</f>
        <v/>
      </c>
      <c r="H127" s="13"/>
    </row>
    <row r="128" spans="1:8" ht="75">
      <c r="A128" s="28"/>
      <c r="B128" s="28"/>
      <c r="C128" s="9" t="s">
        <v>160</v>
      </c>
      <c r="D128" s="10" t="s">
        <v>256</v>
      </c>
      <c r="E128" s="11" t="s">
        <v>117</v>
      </c>
      <c r="F128" s="12" t="s">
        <v>162</v>
      </c>
      <c r="G128" s="34" t="str" cm="1">
        <f t="array" ref="G128">IF(A128="","",_xlfn.TEXTJOIN(", ",TRUE,_xlfn._xlws.FILTER(Objectives!B$2:B$1000,ISNUMBER(SEARCH(A128,Objectives!D$2:D$1000)),"")))</f>
        <v/>
      </c>
      <c r="H128" s="13"/>
    </row>
    <row r="129" spans="1:8" ht="45">
      <c r="A129" s="28"/>
      <c r="B129" s="28"/>
      <c r="C129" s="30" t="s">
        <v>176</v>
      </c>
      <c r="D129" s="25" t="s">
        <v>257</v>
      </c>
      <c r="E129" s="11" t="s">
        <v>40</v>
      </c>
      <c r="F129" s="12" t="s">
        <v>178</v>
      </c>
      <c r="G129" s="34" t="str" cm="1">
        <f t="array" ref="G129">IF(A129="","",_xlfn.TEXTJOIN(", ",TRUE,_xlfn._xlws.FILTER(Objectives!B$2:B$1000,ISNUMBER(SEARCH(A129,Objectives!D$2:D$1000)),"")))</f>
        <v/>
      </c>
      <c r="H129" s="13"/>
    </row>
    <row r="130" spans="1:8" ht="60">
      <c r="A130" s="28"/>
      <c r="B130" s="28"/>
      <c r="C130" s="28"/>
      <c r="D130" s="28"/>
      <c r="E130" s="11" t="s">
        <v>42</v>
      </c>
      <c r="F130" s="12" t="s">
        <v>179</v>
      </c>
      <c r="G130" s="34" t="str" cm="1">
        <f t="array" ref="G130">IF(A130="","",_xlfn.TEXTJOIN(", ",TRUE,_xlfn._xlws.FILTER(Objectives!B$2:B$1000,ISNUMBER(SEARCH(A130,Objectives!D$2:D$1000)),"")))</f>
        <v/>
      </c>
      <c r="H130" s="13"/>
    </row>
    <row r="131" spans="1:8" ht="45">
      <c r="A131" s="26"/>
      <c r="B131" s="26"/>
      <c r="C131" s="26"/>
      <c r="D131" s="26"/>
      <c r="E131" s="11" t="s">
        <v>180</v>
      </c>
      <c r="F131" s="12" t="s">
        <v>181</v>
      </c>
      <c r="G131" s="34" t="str" cm="1">
        <f t="array" ref="G131">IF(A131="","",_xlfn.TEXTJOIN(", ",TRUE,_xlfn._xlws.FILTER(Objectives!B$2:B$1000,ISNUMBER(SEARCH(A131,Objectives!D$2:D$1000)),"")))</f>
        <v/>
      </c>
      <c r="H131" s="13"/>
    </row>
    <row r="132" spans="1:8" ht="45">
      <c r="A132" s="7" t="s">
        <v>258</v>
      </c>
      <c r="B132" s="14" t="s">
        <v>259</v>
      </c>
      <c r="C132" s="9" t="s">
        <v>53</v>
      </c>
      <c r="D132" s="14" t="s">
        <v>260</v>
      </c>
      <c r="E132" s="13"/>
      <c r="F132" s="15" t="s">
        <v>46</v>
      </c>
      <c r="G132" s="15" t="str" cm="1">
        <f t="array" ref="G132">IF(A132="","",_xlfn.TEXTJOIN(", ",TRUE,_xlfn._xlws.FILTER(Objectives!B$2:B$1000,ISNUMBER(SEARCH(A132,Objectives!D$2:D$1000)),"")))</f>
        <v/>
      </c>
      <c r="H132" s="13"/>
    </row>
    <row r="133" spans="1:8" ht="75">
      <c r="A133" s="27" t="s">
        <v>261</v>
      </c>
      <c r="B133" s="29" t="s">
        <v>262</v>
      </c>
      <c r="C133" s="30" t="s">
        <v>17</v>
      </c>
      <c r="D133" s="25" t="s">
        <v>263</v>
      </c>
      <c r="E133" s="11" t="s">
        <v>19</v>
      </c>
      <c r="F133" s="12" t="s">
        <v>20</v>
      </c>
      <c r="G133" s="34" t="str" cm="1">
        <f t="array" ref="G133">IF(A133="","",_xlfn.TEXTJOIN(", ",TRUE,_xlfn._xlws.FILTER(Objectives!B$2:B$1000,ISNUMBER(SEARCH(A133,Objectives!D$2:D$1000)),"")))</f>
        <v/>
      </c>
      <c r="H133" s="13"/>
    </row>
    <row r="134" spans="1:8" ht="45">
      <c r="A134" s="28"/>
      <c r="B134" s="28"/>
      <c r="C134" s="26"/>
      <c r="D134" s="26"/>
      <c r="E134" s="11" t="s">
        <v>21</v>
      </c>
      <c r="F134" s="12" t="s">
        <v>22</v>
      </c>
      <c r="G134" s="34" t="str" cm="1">
        <f t="array" ref="G134">IF(A134="","",_xlfn.TEXTJOIN(", ",TRUE,_xlfn._xlws.FILTER(Objectives!B$2:B$1000,ISNUMBER(SEARCH(A134,Objectives!D$2:D$1000)),"")))</f>
        <v/>
      </c>
      <c r="H134" s="13"/>
    </row>
    <row r="135" spans="1:8" ht="60">
      <c r="A135" s="26"/>
      <c r="B135" s="26"/>
      <c r="C135" s="9" t="s">
        <v>174</v>
      </c>
      <c r="D135" s="14" t="s">
        <v>264</v>
      </c>
      <c r="E135" s="13"/>
      <c r="F135" s="15" t="s">
        <v>46</v>
      </c>
      <c r="G135" s="15" t="str" cm="1">
        <f t="array" ref="G135">IF(A135="","",_xlfn.TEXTJOIN(", ",TRUE,_xlfn._xlws.FILTER(Objectives!B$2:B$1000,ISNUMBER(SEARCH(A135,Objectives!D$2:D$1000)),"")))</f>
        <v/>
      </c>
      <c r="H135" s="13"/>
    </row>
    <row r="136" spans="1:8" ht="60">
      <c r="A136" s="5" t="s">
        <v>265</v>
      </c>
      <c r="B136" s="6"/>
      <c r="C136" s="6"/>
      <c r="D136" s="6"/>
      <c r="E136" s="6"/>
      <c r="F136" s="6"/>
      <c r="G136" s="6" t="str" cm="1">
        <f t="array" ref="G136">IF(A136="","",_xlfn.TEXTJOIN(", ",TRUE,_xlfn._xlws.FILTER(Objectives!B$2:B$1000,ISNUMBER(SEARCH(A136,Objectives!D$2:D$1000)),"")))</f>
        <v/>
      </c>
      <c r="H136" s="6"/>
    </row>
    <row r="137" spans="1:8" ht="75">
      <c r="A137" s="27" t="s">
        <v>266</v>
      </c>
      <c r="B137" s="29" t="s">
        <v>267</v>
      </c>
      <c r="C137" s="9" t="s">
        <v>125</v>
      </c>
      <c r="D137" s="14" t="s">
        <v>268</v>
      </c>
      <c r="E137" s="13"/>
      <c r="F137" s="15" t="s">
        <v>46</v>
      </c>
      <c r="G137" s="15" t="str" cm="1">
        <f t="array" ref="G137">IF(A137="","",_xlfn.TEXTJOIN(", ",TRUE,_xlfn._xlws.FILTER(Objectives!B$2:B$1000,ISNUMBER(SEARCH(A137,Objectives!D$2:D$1000)),"")))</f>
        <v/>
      </c>
      <c r="H137" s="13"/>
    </row>
    <row r="138" spans="1:8" ht="75">
      <c r="A138" s="28"/>
      <c r="B138" s="28"/>
      <c r="C138" s="9" t="s">
        <v>57</v>
      </c>
      <c r="D138" s="14" t="s">
        <v>269</v>
      </c>
      <c r="E138" s="13"/>
      <c r="F138" s="15" t="s">
        <v>46</v>
      </c>
      <c r="G138" s="15" t="str" cm="1">
        <f t="array" ref="G138">IF(A138="","",_xlfn.TEXTJOIN(", ",TRUE,_xlfn._xlws.FILTER(Objectives!B$2:B$1000,ISNUMBER(SEARCH(A138,Objectives!D$2:D$1000)),"")))</f>
        <v/>
      </c>
      <c r="H138" s="13"/>
    </row>
    <row r="139" spans="1:8" ht="45">
      <c r="A139" s="26"/>
      <c r="B139" s="26"/>
      <c r="C139" s="9" t="s">
        <v>270</v>
      </c>
      <c r="D139" s="14" t="s">
        <v>271</v>
      </c>
      <c r="E139" s="13"/>
      <c r="F139" s="15" t="s">
        <v>46</v>
      </c>
      <c r="G139" s="15" t="str" cm="1">
        <f t="array" ref="G139">IF(A139="","",_xlfn.TEXTJOIN(", ",TRUE,_xlfn._xlws.FILTER(Objectives!B$2:B$1000,ISNUMBER(SEARCH(A139,Objectives!D$2:D$1000)),"")))</f>
        <v/>
      </c>
      <c r="H139" s="13"/>
    </row>
  </sheetData>
  <autoFilter ref="A1:H139" xr:uid="{00000000-0009-0000-0000-000000000000}"/>
  <mergeCells count="104">
    <mergeCell ref="D5:D6"/>
    <mergeCell ref="A118:A120"/>
    <mergeCell ref="A47:A54"/>
    <mergeCell ref="C15:C16"/>
    <mergeCell ref="A59:A62"/>
    <mergeCell ref="C80:C82"/>
    <mergeCell ref="D35:D36"/>
    <mergeCell ref="C129:C131"/>
    <mergeCell ref="B137:B139"/>
    <mergeCell ref="D59:D60"/>
    <mergeCell ref="D22:D23"/>
    <mergeCell ref="D133:D134"/>
    <mergeCell ref="A43:A46"/>
    <mergeCell ref="D91:D93"/>
    <mergeCell ref="A83:A84"/>
    <mergeCell ref="A71:A82"/>
    <mergeCell ref="B107:B111"/>
    <mergeCell ref="A113:A115"/>
    <mergeCell ref="C89:C90"/>
    <mergeCell ref="A91:A93"/>
    <mergeCell ref="B98:B106"/>
    <mergeCell ref="C91:C93"/>
    <mergeCell ref="D64:D66"/>
    <mergeCell ref="B118:B120"/>
    <mergeCell ref="B133:B135"/>
    <mergeCell ref="C118:C119"/>
    <mergeCell ref="C133:C134"/>
    <mergeCell ref="C99:C100"/>
    <mergeCell ref="A124:A131"/>
    <mergeCell ref="A94:A96"/>
    <mergeCell ref="C103:C105"/>
    <mergeCell ref="D89:D90"/>
    <mergeCell ref="A137:A139"/>
    <mergeCell ref="A98:A106"/>
    <mergeCell ref="C26:C28"/>
    <mergeCell ref="C40:C42"/>
    <mergeCell ref="B25:B28"/>
    <mergeCell ref="B124:B131"/>
    <mergeCell ref="D86:D88"/>
    <mergeCell ref="B3:B11"/>
    <mergeCell ref="C83:C84"/>
    <mergeCell ref="D32:D34"/>
    <mergeCell ref="C107:C108"/>
    <mergeCell ref="D103:D105"/>
    <mergeCell ref="D125:D127"/>
    <mergeCell ref="C5:C6"/>
    <mergeCell ref="B47:B54"/>
    <mergeCell ref="A25:A28"/>
    <mergeCell ref="C59:C60"/>
    <mergeCell ref="C22:C23"/>
    <mergeCell ref="D129:D131"/>
    <mergeCell ref="A63:A70"/>
    <mergeCell ref="D73:D75"/>
    <mergeCell ref="B113:B115"/>
    <mergeCell ref="C12:C13"/>
    <mergeCell ref="D26:D28"/>
    <mergeCell ref="A107:A111"/>
    <mergeCell ref="D80:D82"/>
    <mergeCell ref="B86:B90"/>
    <mergeCell ref="B56:B57"/>
    <mergeCell ref="C52:C54"/>
    <mergeCell ref="A133:A135"/>
    <mergeCell ref="A86:A90"/>
    <mergeCell ref="A31:A42"/>
    <mergeCell ref="B18:B23"/>
    <mergeCell ref="B43:B46"/>
    <mergeCell ref="A56:A57"/>
    <mergeCell ref="C125:C127"/>
    <mergeCell ref="D19:D21"/>
    <mergeCell ref="B31:B42"/>
    <mergeCell ref="B71:B82"/>
    <mergeCell ref="D118:D119"/>
    <mergeCell ref="C64:C66"/>
    <mergeCell ref="C86:C88"/>
    <mergeCell ref="C68:C70"/>
    <mergeCell ref="D76:D79"/>
    <mergeCell ref="D107:D108"/>
    <mergeCell ref="B91:B93"/>
    <mergeCell ref="B83:B84"/>
    <mergeCell ref="D83:D84"/>
    <mergeCell ref="D99:D100"/>
    <mergeCell ref="A3:A11"/>
    <mergeCell ref="B59:B62"/>
    <mergeCell ref="D68:D70"/>
    <mergeCell ref="B63:B70"/>
    <mergeCell ref="C32:C34"/>
    <mergeCell ref="C71:C72"/>
    <mergeCell ref="B94:B96"/>
    <mergeCell ref="D94:D96"/>
    <mergeCell ref="D15:D16"/>
    <mergeCell ref="D71:D72"/>
    <mergeCell ref="C76:C79"/>
    <mergeCell ref="C73:C75"/>
    <mergeCell ref="D12:D13"/>
    <mergeCell ref="A12:A17"/>
    <mergeCell ref="C7:C10"/>
    <mergeCell ref="D52:D54"/>
    <mergeCell ref="C94:C96"/>
    <mergeCell ref="C35:C36"/>
    <mergeCell ref="B12:B17"/>
    <mergeCell ref="C19:C21"/>
    <mergeCell ref="D7:D10"/>
    <mergeCell ref="D40:D42"/>
    <mergeCell ref="A18:A2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pane ySplit="1" topLeftCell="A2" activePane="bottomLeft" state="frozen"/>
      <selection pane="bottomLeft"/>
    </sheetView>
  </sheetViews>
  <sheetFormatPr defaultRowHeight="15"/>
  <cols>
    <col min="1" max="1" width="62" customWidth="1"/>
    <col min="2" max="2" width="10" customWidth="1"/>
    <col min="3" max="3" width="70" customWidth="1"/>
  </cols>
  <sheetData>
    <row r="1" spans="1:3">
      <c r="A1" s="4" t="s">
        <v>272</v>
      </c>
      <c r="B1" s="4" t="s">
        <v>273</v>
      </c>
      <c r="C1" s="4" t="s">
        <v>274</v>
      </c>
    </row>
    <row r="2" spans="1:3" ht="30">
      <c r="A2" s="13" t="s">
        <v>275</v>
      </c>
      <c r="B2" s="13">
        <v>11</v>
      </c>
      <c r="C2" s="13" t="s">
        <v>276</v>
      </c>
    </row>
    <row r="3" spans="1:3">
      <c r="A3" s="13" t="s">
        <v>277</v>
      </c>
      <c r="B3" s="13">
        <v>2</v>
      </c>
      <c r="C3" s="13" t="s">
        <v>278</v>
      </c>
    </row>
    <row r="4" spans="1:3" ht="45">
      <c r="A4" s="13" t="s">
        <v>279</v>
      </c>
      <c r="B4" s="13">
        <v>17</v>
      </c>
      <c r="C4" s="13" t="s">
        <v>280</v>
      </c>
    </row>
    <row r="5" spans="1:3" ht="60">
      <c r="A5" s="13" t="s">
        <v>281</v>
      </c>
      <c r="B5" s="13">
        <v>23</v>
      </c>
      <c r="C5" s="13" t="s">
        <v>282</v>
      </c>
    </row>
    <row r="6" spans="1:3" ht="60">
      <c r="A6" s="13" t="s">
        <v>283</v>
      </c>
      <c r="B6" s="13">
        <v>19</v>
      </c>
      <c r="C6" s="13" t="s">
        <v>284</v>
      </c>
    </row>
    <row r="7" spans="1:3" ht="75">
      <c r="A7" s="13" t="s">
        <v>285</v>
      </c>
      <c r="B7" s="13">
        <v>29</v>
      </c>
      <c r="C7" s="13" t="s">
        <v>286</v>
      </c>
    </row>
    <row r="8" spans="1:3">
      <c r="A8" s="19" t="s">
        <v>287</v>
      </c>
      <c r="B8" s="13">
        <v>0</v>
      </c>
      <c r="C8" s="13"/>
    </row>
    <row r="9" spans="1:3">
      <c r="A9" s="19" t="s">
        <v>288</v>
      </c>
      <c r="B9" s="13">
        <v>0</v>
      </c>
      <c r="C9" s="13"/>
    </row>
    <row r="10" spans="1:3">
      <c r="A10" s="19" t="s">
        <v>289</v>
      </c>
      <c r="B10" s="13">
        <v>0</v>
      </c>
      <c r="C10" s="13"/>
    </row>
    <row r="11" spans="1:3">
      <c r="A11" s="19" t="s">
        <v>290</v>
      </c>
      <c r="B11" s="13">
        <v>0</v>
      </c>
      <c r="C11" s="13"/>
    </row>
    <row r="12" spans="1:3">
      <c r="A12" s="19" t="s">
        <v>291</v>
      </c>
      <c r="B12" s="13">
        <v>0</v>
      </c>
      <c r="C12" s="13"/>
    </row>
    <row r="13" spans="1:3">
      <c r="A13" s="19" t="s">
        <v>292</v>
      </c>
      <c r="B13" s="13">
        <v>0</v>
      </c>
      <c r="C13" s="13"/>
    </row>
    <row r="14" spans="1:3" ht="30">
      <c r="A14" s="19" t="s">
        <v>293</v>
      </c>
      <c r="B14" s="13">
        <v>0</v>
      </c>
      <c r="C14" s="13"/>
    </row>
    <row r="15" spans="1:3" ht="30">
      <c r="A15" s="19" t="s">
        <v>294</v>
      </c>
      <c r="B15" s="13">
        <v>0</v>
      </c>
      <c r="C15" s="1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7"/>
  <sheetViews>
    <sheetView workbookViewId="0">
      <pane ySplit="1" topLeftCell="A5" activePane="bottomLeft" state="frozen"/>
      <selection pane="bottomLeft" activeCell="B34" sqref="B34"/>
    </sheetView>
  </sheetViews>
  <sheetFormatPr defaultRowHeight="15"/>
  <cols>
    <col min="1" max="1" width="18" customWidth="1"/>
    <col min="2" max="2" width="24" customWidth="1"/>
    <col min="3" max="3" width="12" customWidth="1"/>
    <col min="4" max="5" width="30" customWidth="1"/>
    <col min="6" max="7" width="34" customWidth="1"/>
    <col min="8" max="8" width="40" customWidth="1"/>
  </cols>
  <sheetData>
    <row r="1" spans="1:8" ht="30">
      <c r="A1" s="1" t="s">
        <v>295</v>
      </c>
      <c r="B1" s="1" t="s">
        <v>296</v>
      </c>
      <c r="C1" s="1" t="s">
        <v>297</v>
      </c>
      <c r="D1" s="1" t="s">
        <v>275</v>
      </c>
      <c r="E1" s="1" t="s">
        <v>298</v>
      </c>
      <c r="F1" s="2" t="s">
        <v>299</v>
      </c>
      <c r="G1" s="3" t="s">
        <v>300</v>
      </c>
      <c r="H1" s="4" t="s">
        <v>6</v>
      </c>
    </row>
    <row r="2" spans="1:8" ht="60">
      <c r="A2" s="13" t="s">
        <v>301</v>
      </c>
      <c r="B2" s="19" t="s">
        <v>302</v>
      </c>
      <c r="C2" s="13" t="s">
        <v>303</v>
      </c>
      <c r="D2" s="8" t="s">
        <v>304</v>
      </c>
      <c r="E2" s="13"/>
      <c r="F2" s="10" t="s">
        <v>305</v>
      </c>
      <c r="G2" s="12" t="s">
        <v>306</v>
      </c>
      <c r="H2" s="13"/>
    </row>
    <row r="3" spans="1:8" ht="45">
      <c r="A3" s="13" t="s">
        <v>301</v>
      </c>
      <c r="B3" s="19" t="s">
        <v>307</v>
      </c>
      <c r="C3" s="13" t="s">
        <v>308</v>
      </c>
      <c r="D3" s="8" t="s">
        <v>8</v>
      </c>
      <c r="E3" s="13"/>
      <c r="F3" s="10" t="s">
        <v>309</v>
      </c>
      <c r="G3" s="12" t="s">
        <v>310</v>
      </c>
      <c r="H3" s="13"/>
    </row>
    <row r="4" spans="1:8" ht="30">
      <c r="A4" s="13" t="s">
        <v>301</v>
      </c>
      <c r="B4" s="19" t="s">
        <v>311</v>
      </c>
      <c r="C4" s="13" t="s">
        <v>308</v>
      </c>
      <c r="D4" s="8" t="s">
        <v>36</v>
      </c>
      <c r="E4" s="13"/>
      <c r="F4" s="10" t="s">
        <v>312</v>
      </c>
      <c r="G4" s="12" t="s">
        <v>313</v>
      </c>
      <c r="H4" s="13"/>
    </row>
    <row r="5" spans="1:8" ht="45">
      <c r="A5" s="13" t="s">
        <v>301</v>
      </c>
      <c r="B5" s="19" t="s">
        <v>314</v>
      </c>
      <c r="C5" s="13" t="s">
        <v>308</v>
      </c>
      <c r="D5" s="8" t="s">
        <v>8</v>
      </c>
      <c r="E5" s="13"/>
      <c r="F5" s="10" t="s">
        <v>309</v>
      </c>
      <c r="G5" s="12" t="s">
        <v>310</v>
      </c>
      <c r="H5" s="13"/>
    </row>
    <row r="6" spans="1:8" ht="60">
      <c r="A6" s="13" t="s">
        <v>301</v>
      </c>
      <c r="B6" s="19" t="s">
        <v>315</v>
      </c>
      <c r="C6" s="13" t="s">
        <v>303</v>
      </c>
      <c r="D6" s="8" t="s">
        <v>316</v>
      </c>
      <c r="E6" s="13"/>
      <c r="F6" s="10" t="s">
        <v>317</v>
      </c>
      <c r="G6" s="12" t="s">
        <v>318</v>
      </c>
      <c r="H6" s="13"/>
    </row>
    <row r="7" spans="1:8" ht="45">
      <c r="A7" s="13" t="s">
        <v>301</v>
      </c>
      <c r="B7" s="19" t="s">
        <v>319</v>
      </c>
      <c r="C7" s="13" t="s">
        <v>303</v>
      </c>
      <c r="D7" s="8" t="s">
        <v>320</v>
      </c>
      <c r="E7" s="13" t="s">
        <v>321</v>
      </c>
      <c r="F7" s="10" t="s">
        <v>322</v>
      </c>
      <c r="G7" s="12" t="s">
        <v>323</v>
      </c>
      <c r="H7" s="13"/>
    </row>
    <row r="8" spans="1:8" ht="60">
      <c r="A8" s="13" t="s">
        <v>301</v>
      </c>
      <c r="B8" s="19" t="s">
        <v>324</v>
      </c>
      <c r="C8" s="13" t="s">
        <v>303</v>
      </c>
      <c r="D8" s="8" t="s">
        <v>325</v>
      </c>
      <c r="E8" s="13" t="s">
        <v>321</v>
      </c>
      <c r="F8" s="10" t="s">
        <v>326</v>
      </c>
      <c r="G8" s="12" t="s">
        <v>327</v>
      </c>
      <c r="H8" s="13"/>
    </row>
    <row r="9" spans="1:8" ht="45">
      <c r="A9" s="13" t="s">
        <v>301</v>
      </c>
      <c r="B9" s="19" t="s">
        <v>328</v>
      </c>
      <c r="C9" s="13" t="s">
        <v>308</v>
      </c>
      <c r="D9" s="8" t="s">
        <v>8</v>
      </c>
      <c r="E9" s="13"/>
      <c r="F9" s="10" t="s">
        <v>309</v>
      </c>
      <c r="G9" s="12" t="s">
        <v>310</v>
      </c>
      <c r="H9" s="13"/>
    </row>
    <row r="10" spans="1:8" ht="30">
      <c r="A10" s="13" t="s">
        <v>301</v>
      </c>
      <c r="B10" s="19" t="s">
        <v>329</v>
      </c>
      <c r="C10" s="13" t="s">
        <v>308</v>
      </c>
      <c r="D10" s="8" t="s">
        <v>36</v>
      </c>
      <c r="E10" s="13"/>
      <c r="F10" s="10" t="s">
        <v>312</v>
      </c>
      <c r="G10" s="12" t="s">
        <v>313</v>
      </c>
      <c r="H10" s="13"/>
    </row>
    <row r="11" spans="1:8" ht="45">
      <c r="A11" s="13" t="s">
        <v>301</v>
      </c>
      <c r="B11" s="19" t="s">
        <v>330</v>
      </c>
      <c r="C11" s="13" t="s">
        <v>303</v>
      </c>
      <c r="D11" s="8" t="s">
        <v>88</v>
      </c>
      <c r="E11" s="13" t="s">
        <v>331</v>
      </c>
      <c r="F11" s="10" t="s">
        <v>332</v>
      </c>
      <c r="G11" s="12" t="s">
        <v>333</v>
      </c>
      <c r="H11" s="13"/>
    </row>
    <row r="12" spans="1:8" ht="45">
      <c r="A12" s="13" t="s">
        <v>334</v>
      </c>
      <c r="B12" s="19" t="s">
        <v>335</v>
      </c>
      <c r="C12" s="13" t="s">
        <v>336</v>
      </c>
      <c r="D12" s="8" t="s">
        <v>8</v>
      </c>
      <c r="E12" s="13"/>
      <c r="F12" s="10" t="s">
        <v>309</v>
      </c>
      <c r="G12" s="12" t="s">
        <v>310</v>
      </c>
      <c r="H12" s="13"/>
    </row>
    <row r="13" spans="1:8" ht="30">
      <c r="A13" s="13" t="s">
        <v>334</v>
      </c>
      <c r="B13" s="19" t="s">
        <v>337</v>
      </c>
      <c r="C13" s="13" t="s">
        <v>303</v>
      </c>
      <c r="D13" s="8" t="s">
        <v>36</v>
      </c>
      <c r="E13" s="13" t="s">
        <v>338</v>
      </c>
      <c r="F13" s="10" t="s">
        <v>312</v>
      </c>
      <c r="G13" s="12" t="s">
        <v>313</v>
      </c>
      <c r="H13" s="13"/>
    </row>
    <row r="14" spans="1:8" ht="30">
      <c r="A14" s="13" t="s">
        <v>334</v>
      </c>
      <c r="B14" s="19" t="s">
        <v>339</v>
      </c>
      <c r="C14" s="13" t="s">
        <v>303</v>
      </c>
      <c r="D14" s="8" t="s">
        <v>36</v>
      </c>
      <c r="E14" s="13" t="s">
        <v>338</v>
      </c>
      <c r="F14" s="10" t="s">
        <v>312</v>
      </c>
      <c r="G14" s="12" t="s">
        <v>313</v>
      </c>
      <c r="H14" s="13"/>
    </row>
    <row r="15" spans="1:8" ht="45">
      <c r="A15" s="13" t="s">
        <v>334</v>
      </c>
      <c r="B15" s="19" t="s">
        <v>340</v>
      </c>
      <c r="C15" s="13" t="s">
        <v>308</v>
      </c>
      <c r="D15" s="8" t="s">
        <v>8</v>
      </c>
      <c r="E15" s="13"/>
      <c r="F15" s="10" t="s">
        <v>309</v>
      </c>
      <c r="G15" s="12" t="s">
        <v>310</v>
      </c>
      <c r="H15" s="13"/>
    </row>
    <row r="16" spans="1:8" ht="45">
      <c r="A16" s="13" t="s">
        <v>334</v>
      </c>
      <c r="B16" s="19" t="s">
        <v>341</v>
      </c>
      <c r="C16" s="13" t="s">
        <v>303</v>
      </c>
      <c r="D16" s="8" t="s">
        <v>8</v>
      </c>
      <c r="E16" s="13" t="s">
        <v>342</v>
      </c>
      <c r="F16" s="10" t="s">
        <v>309</v>
      </c>
      <c r="G16" s="12" t="s">
        <v>310</v>
      </c>
      <c r="H16" s="13"/>
    </row>
    <row r="17" spans="1:8" ht="30">
      <c r="A17" s="13" t="s">
        <v>334</v>
      </c>
      <c r="B17" s="19" t="s">
        <v>343</v>
      </c>
      <c r="C17" s="13" t="s">
        <v>308</v>
      </c>
      <c r="D17" s="8" t="s">
        <v>36</v>
      </c>
      <c r="E17" s="13" t="s">
        <v>338</v>
      </c>
      <c r="F17" s="10" t="s">
        <v>312</v>
      </c>
      <c r="G17" s="12" t="s">
        <v>313</v>
      </c>
      <c r="H17" s="13"/>
    </row>
    <row r="18" spans="1:8" ht="45">
      <c r="A18" s="13" t="s">
        <v>344</v>
      </c>
      <c r="B18" s="19" t="s">
        <v>345</v>
      </c>
      <c r="C18" s="13" t="s">
        <v>303</v>
      </c>
      <c r="D18" s="8" t="s">
        <v>88</v>
      </c>
      <c r="E18" s="13"/>
      <c r="F18" s="10" t="s">
        <v>332</v>
      </c>
      <c r="G18" s="12" t="s">
        <v>333</v>
      </c>
      <c r="H18" s="13"/>
    </row>
    <row r="19" spans="1:8">
      <c r="A19" s="13" t="s">
        <v>344</v>
      </c>
      <c r="B19" s="19" t="s">
        <v>346</v>
      </c>
      <c r="C19" s="13" t="s">
        <v>303</v>
      </c>
      <c r="D19" s="8" t="s">
        <v>140</v>
      </c>
      <c r="E19" s="13"/>
      <c r="F19" s="10" t="s">
        <v>142</v>
      </c>
      <c r="G19" s="12" t="s">
        <v>144</v>
      </c>
      <c r="H19" s="13"/>
    </row>
    <row r="20" spans="1:8">
      <c r="A20" s="13" t="s">
        <v>344</v>
      </c>
      <c r="B20" s="19" t="s">
        <v>347</v>
      </c>
      <c r="C20" s="13" t="s">
        <v>303</v>
      </c>
      <c r="D20" s="8" t="s">
        <v>122</v>
      </c>
      <c r="E20" s="13"/>
      <c r="F20" s="10" t="s">
        <v>90</v>
      </c>
      <c r="G20" s="12" t="s">
        <v>92</v>
      </c>
      <c r="H20" s="13"/>
    </row>
    <row r="21" spans="1:8" ht="30">
      <c r="A21" s="13" t="s">
        <v>344</v>
      </c>
      <c r="B21" s="19" t="s">
        <v>348</v>
      </c>
      <c r="C21" s="13" t="s">
        <v>303</v>
      </c>
      <c r="D21" s="8" t="s">
        <v>36</v>
      </c>
      <c r="E21" s="13" t="s">
        <v>349</v>
      </c>
      <c r="F21" s="10" t="s">
        <v>312</v>
      </c>
      <c r="G21" s="12" t="s">
        <v>313</v>
      </c>
      <c r="H21" s="13"/>
    </row>
    <row r="22" spans="1:8" ht="30">
      <c r="A22" s="13" t="s">
        <v>344</v>
      </c>
      <c r="B22" s="19" t="s">
        <v>350</v>
      </c>
      <c r="C22" s="13" t="s">
        <v>303</v>
      </c>
      <c r="D22" s="8" t="s">
        <v>36</v>
      </c>
      <c r="E22" s="13" t="s">
        <v>351</v>
      </c>
      <c r="F22" s="10" t="s">
        <v>312</v>
      </c>
      <c r="G22" s="12" t="s">
        <v>313</v>
      </c>
      <c r="H22" s="13"/>
    </row>
    <row r="23" spans="1:8">
      <c r="A23" s="13" t="s">
        <v>344</v>
      </c>
      <c r="B23" s="19" t="s">
        <v>352</v>
      </c>
      <c r="C23" s="13" t="s">
        <v>303</v>
      </c>
      <c r="D23" s="8" t="s">
        <v>140</v>
      </c>
      <c r="E23" s="13"/>
      <c r="F23" s="10" t="s">
        <v>142</v>
      </c>
      <c r="G23" s="12" t="s">
        <v>144</v>
      </c>
      <c r="H23" s="13"/>
    </row>
    <row r="24" spans="1:8" ht="30">
      <c r="A24" s="13" t="s">
        <v>353</v>
      </c>
      <c r="B24" s="19" t="s">
        <v>354</v>
      </c>
      <c r="C24" s="13" t="s">
        <v>308</v>
      </c>
      <c r="D24" s="8" t="s">
        <v>36</v>
      </c>
      <c r="E24" s="13" t="s">
        <v>355</v>
      </c>
      <c r="F24" s="10" t="s">
        <v>312</v>
      </c>
      <c r="G24" s="12" t="s">
        <v>313</v>
      </c>
      <c r="H24" s="13"/>
    </row>
    <row r="25" spans="1:8" ht="30">
      <c r="A25" s="13" t="s">
        <v>353</v>
      </c>
      <c r="B25" s="19" t="s">
        <v>356</v>
      </c>
      <c r="C25" s="13" t="s">
        <v>303</v>
      </c>
      <c r="D25" s="8" t="s">
        <v>36</v>
      </c>
      <c r="E25" s="13" t="s">
        <v>357</v>
      </c>
      <c r="F25" s="10" t="s">
        <v>312</v>
      </c>
      <c r="G25" s="12" t="s">
        <v>313</v>
      </c>
      <c r="H25" s="13"/>
    </row>
    <row r="26" spans="1:8" ht="30">
      <c r="A26" s="13" t="s">
        <v>353</v>
      </c>
      <c r="B26" s="19" t="s">
        <v>358</v>
      </c>
      <c r="C26" s="13" t="s">
        <v>303</v>
      </c>
      <c r="D26" s="8" t="s">
        <v>36</v>
      </c>
      <c r="E26" s="13" t="s">
        <v>359</v>
      </c>
      <c r="F26" s="10" t="s">
        <v>312</v>
      </c>
      <c r="G26" s="12" t="s">
        <v>313</v>
      </c>
      <c r="H26" s="13"/>
    </row>
    <row r="27" spans="1:8" ht="30">
      <c r="A27" s="13" t="s">
        <v>353</v>
      </c>
      <c r="B27" s="19" t="s">
        <v>360</v>
      </c>
      <c r="C27" s="13" t="s">
        <v>308</v>
      </c>
      <c r="D27" s="8" t="s">
        <v>36</v>
      </c>
      <c r="E27" s="13" t="s">
        <v>355</v>
      </c>
      <c r="F27" s="10" t="s">
        <v>312</v>
      </c>
      <c r="G27" s="12" t="s">
        <v>313</v>
      </c>
      <c r="H27" s="13"/>
    </row>
    <row r="28" spans="1:8" ht="30">
      <c r="A28" s="13" t="s">
        <v>353</v>
      </c>
      <c r="B28" s="19" t="s">
        <v>361</v>
      </c>
      <c r="C28" s="13" t="s">
        <v>336</v>
      </c>
      <c r="D28" s="8" t="s">
        <v>36</v>
      </c>
      <c r="E28" s="13" t="s">
        <v>355</v>
      </c>
      <c r="F28" s="10" t="s">
        <v>312</v>
      </c>
      <c r="G28" s="12" t="s">
        <v>313</v>
      </c>
      <c r="H28" s="13"/>
    </row>
    <row r="29" spans="1:8" ht="90">
      <c r="A29" s="13" t="s">
        <v>362</v>
      </c>
      <c r="B29" s="19" t="s">
        <v>363</v>
      </c>
      <c r="C29" s="13" t="s">
        <v>303</v>
      </c>
      <c r="D29" s="8" t="s">
        <v>364</v>
      </c>
      <c r="E29" s="13" t="s">
        <v>365</v>
      </c>
      <c r="F29" s="10" t="s">
        <v>366</v>
      </c>
      <c r="G29" s="12" t="s">
        <v>367</v>
      </c>
      <c r="H29" s="13"/>
    </row>
    <row r="30" spans="1:8" ht="75">
      <c r="A30" s="13" t="s">
        <v>362</v>
      </c>
      <c r="B30" s="19" t="s">
        <v>368</v>
      </c>
      <c r="C30" s="13" t="s">
        <v>303</v>
      </c>
      <c r="D30" s="8" t="s">
        <v>369</v>
      </c>
      <c r="E30" s="13"/>
      <c r="F30" s="10" t="s">
        <v>370</v>
      </c>
      <c r="G30" s="12" t="s">
        <v>371</v>
      </c>
      <c r="H30" s="13"/>
    </row>
    <row r="31" spans="1:8" ht="45">
      <c r="A31" s="13" t="s">
        <v>362</v>
      </c>
      <c r="B31" s="19" t="s">
        <v>372</v>
      </c>
      <c r="C31" s="13" t="s">
        <v>303</v>
      </c>
      <c r="D31" s="8" t="s">
        <v>373</v>
      </c>
      <c r="E31" s="13" t="s">
        <v>374</v>
      </c>
      <c r="F31" s="10" t="s">
        <v>375</v>
      </c>
      <c r="G31" s="12" t="s">
        <v>376</v>
      </c>
      <c r="H31" s="13"/>
    </row>
    <row r="32" spans="1:8" ht="30">
      <c r="A32" s="13" t="s">
        <v>362</v>
      </c>
      <c r="B32" s="19" t="s">
        <v>377</v>
      </c>
      <c r="C32" s="13" t="s">
        <v>308</v>
      </c>
      <c r="D32" s="8" t="s">
        <v>36</v>
      </c>
      <c r="E32" s="13" t="s">
        <v>378</v>
      </c>
      <c r="F32" s="10" t="s">
        <v>312</v>
      </c>
      <c r="G32" s="12" t="s">
        <v>313</v>
      </c>
      <c r="H32" s="13"/>
    </row>
    <row r="33" spans="1:8" ht="60">
      <c r="A33" s="13" t="s">
        <v>362</v>
      </c>
      <c r="B33" s="19" t="s">
        <v>379</v>
      </c>
      <c r="C33" s="13" t="s">
        <v>303</v>
      </c>
      <c r="D33" s="8" t="s">
        <v>304</v>
      </c>
      <c r="E33" s="13" t="s">
        <v>380</v>
      </c>
      <c r="F33" s="10" t="s">
        <v>305</v>
      </c>
      <c r="G33" s="12" t="s">
        <v>306</v>
      </c>
      <c r="H33" s="13"/>
    </row>
    <row r="34" spans="1:8" ht="60">
      <c r="A34" s="13" t="s">
        <v>381</v>
      </c>
      <c r="B34" s="19" t="s">
        <v>382</v>
      </c>
      <c r="C34" s="13" t="s">
        <v>303</v>
      </c>
      <c r="D34" s="8" t="s">
        <v>304</v>
      </c>
      <c r="E34" s="13" t="s">
        <v>383</v>
      </c>
      <c r="F34" s="10" t="s">
        <v>305</v>
      </c>
      <c r="G34" s="12" t="s">
        <v>306</v>
      </c>
      <c r="H34" s="13"/>
    </row>
    <row r="35" spans="1:8" ht="60">
      <c r="A35" s="13" t="s">
        <v>381</v>
      </c>
      <c r="B35" s="19" t="s">
        <v>384</v>
      </c>
      <c r="C35" s="13" t="s">
        <v>303</v>
      </c>
      <c r="D35" s="8" t="s">
        <v>304</v>
      </c>
      <c r="E35" s="13" t="s">
        <v>383</v>
      </c>
      <c r="F35" s="10" t="s">
        <v>305</v>
      </c>
      <c r="G35" s="12" t="s">
        <v>306</v>
      </c>
      <c r="H35" s="13"/>
    </row>
    <row r="36" spans="1:8" ht="60">
      <c r="A36" s="13" t="s">
        <v>381</v>
      </c>
      <c r="B36" s="19" t="s">
        <v>385</v>
      </c>
      <c r="C36" s="13" t="s">
        <v>303</v>
      </c>
      <c r="D36" s="8" t="s">
        <v>304</v>
      </c>
      <c r="E36" s="13" t="s">
        <v>383</v>
      </c>
      <c r="F36" s="10" t="s">
        <v>305</v>
      </c>
      <c r="G36" s="12" t="s">
        <v>306</v>
      </c>
      <c r="H36" s="13"/>
    </row>
    <row r="37" spans="1:8" ht="60">
      <c r="A37" s="13" t="s">
        <v>381</v>
      </c>
      <c r="B37" s="19" t="s">
        <v>386</v>
      </c>
      <c r="C37" s="13" t="s">
        <v>303</v>
      </c>
      <c r="D37" s="8" t="s">
        <v>304</v>
      </c>
      <c r="E37" s="13" t="s">
        <v>387</v>
      </c>
      <c r="F37" s="10" t="s">
        <v>305</v>
      </c>
      <c r="G37" s="12" t="s">
        <v>306</v>
      </c>
      <c r="H37" s="13"/>
    </row>
    <row r="38" spans="1:8" ht="60">
      <c r="A38" s="13" t="s">
        <v>381</v>
      </c>
      <c r="B38" s="19" t="s">
        <v>388</v>
      </c>
      <c r="C38" s="13" t="s">
        <v>308</v>
      </c>
      <c r="D38" s="8" t="s">
        <v>304</v>
      </c>
      <c r="E38" s="13" t="s">
        <v>383</v>
      </c>
      <c r="F38" s="10" t="s">
        <v>305</v>
      </c>
      <c r="G38" s="12" t="s">
        <v>306</v>
      </c>
      <c r="H38" s="13"/>
    </row>
    <row r="39" spans="1:8">
      <c r="A39" s="13" t="s">
        <v>389</v>
      </c>
      <c r="B39" s="13" t="s">
        <v>390</v>
      </c>
      <c r="C39" s="13" t="s">
        <v>303</v>
      </c>
      <c r="D39" s="13"/>
      <c r="E39" s="15" t="s">
        <v>391</v>
      </c>
      <c r="F39" s="13"/>
      <c r="G39" s="13"/>
      <c r="H39" s="13"/>
    </row>
    <row r="40" spans="1:8">
      <c r="A40" s="13" t="s">
        <v>389</v>
      </c>
      <c r="B40" s="13" t="s">
        <v>392</v>
      </c>
      <c r="C40" s="13" t="s">
        <v>303</v>
      </c>
      <c r="D40" s="13"/>
      <c r="E40" s="15" t="s">
        <v>391</v>
      </c>
      <c r="F40" s="13"/>
      <c r="G40" s="13"/>
      <c r="H40" s="13"/>
    </row>
    <row r="41" spans="1:8">
      <c r="A41" s="13" t="s">
        <v>389</v>
      </c>
      <c r="B41" s="13" t="s">
        <v>393</v>
      </c>
      <c r="C41" s="13" t="s">
        <v>308</v>
      </c>
      <c r="D41" s="13"/>
      <c r="E41" s="15" t="s">
        <v>391</v>
      </c>
      <c r="F41" s="13"/>
      <c r="G41" s="13"/>
      <c r="H41" s="13"/>
    </row>
    <row r="42" spans="1:8">
      <c r="A42" s="20" t="s">
        <v>389</v>
      </c>
      <c r="B42" s="20" t="s">
        <v>394</v>
      </c>
      <c r="C42" s="20" t="s">
        <v>303</v>
      </c>
      <c r="D42" s="20"/>
      <c r="E42" s="20" t="s">
        <v>395</v>
      </c>
      <c r="F42" s="20"/>
      <c r="G42" s="20"/>
      <c r="H42" s="13"/>
    </row>
    <row r="43" spans="1:8">
      <c r="A43" s="13" t="s">
        <v>389</v>
      </c>
      <c r="B43" s="13" t="s">
        <v>396</v>
      </c>
      <c r="C43" s="13" t="s">
        <v>336</v>
      </c>
      <c r="D43" s="13"/>
      <c r="E43" s="15" t="s">
        <v>391</v>
      </c>
      <c r="F43" s="13"/>
      <c r="G43" s="13"/>
      <c r="H43" s="13"/>
    </row>
    <row r="44" spans="1:8">
      <c r="A44" s="13" t="s">
        <v>389</v>
      </c>
      <c r="B44" s="13" t="s">
        <v>397</v>
      </c>
      <c r="C44" s="13" t="s">
        <v>308</v>
      </c>
      <c r="D44" s="13"/>
      <c r="E44" s="15" t="s">
        <v>391</v>
      </c>
      <c r="F44" s="13"/>
      <c r="G44" s="13"/>
      <c r="H44" s="13"/>
    </row>
    <row r="45" spans="1:8">
      <c r="A45" s="6" t="s">
        <v>301</v>
      </c>
      <c r="B45" s="21" t="s">
        <v>398</v>
      </c>
      <c r="C45" s="6"/>
      <c r="D45" s="6"/>
      <c r="E45" s="6" t="s">
        <v>399</v>
      </c>
      <c r="F45" s="6"/>
      <c r="G45" s="6"/>
      <c r="H45" s="6"/>
    </row>
    <row r="46" spans="1:8">
      <c r="A46" s="6" t="s">
        <v>400</v>
      </c>
      <c r="B46" s="21" t="s">
        <v>398</v>
      </c>
      <c r="C46" s="6"/>
      <c r="D46" s="6"/>
      <c r="E46" s="6" t="s">
        <v>401</v>
      </c>
      <c r="F46" s="6"/>
      <c r="G46" s="6"/>
      <c r="H46" s="6"/>
    </row>
    <row r="47" spans="1:8">
      <c r="A47" s="6" t="s">
        <v>400</v>
      </c>
      <c r="B47" s="21" t="s">
        <v>398</v>
      </c>
      <c r="C47" s="6"/>
      <c r="D47" s="6"/>
      <c r="E47" s="6" t="s">
        <v>402</v>
      </c>
      <c r="F47" s="6"/>
      <c r="G47" s="6"/>
      <c r="H47" s="6"/>
    </row>
  </sheetData>
  <autoFilter ref="A1:H4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1"/>
  <sheetViews>
    <sheetView workbookViewId="0">
      <pane ySplit="1" topLeftCell="A2" activePane="bottomLeft" state="frozen"/>
      <selection pane="bottomLeft"/>
    </sheetView>
  </sheetViews>
  <sheetFormatPr defaultRowHeight="15"/>
  <cols>
    <col min="1" max="1" width="11" customWidth="1"/>
    <col min="2" max="2" width="16" customWidth="1"/>
    <col min="3" max="3" width="55" customWidth="1"/>
    <col min="4" max="4" width="30" customWidth="1"/>
    <col min="5" max="5" width="22" customWidth="1"/>
    <col min="6" max="6" width="11" customWidth="1"/>
    <col min="7" max="7" width="10" customWidth="1"/>
    <col min="8" max="8" width="8" customWidth="1"/>
    <col min="9" max="9" width="28" customWidth="1"/>
    <col min="10" max="10" width="70" customWidth="1"/>
    <col min="11" max="11" width="40" customWidth="1"/>
  </cols>
  <sheetData>
    <row r="1" spans="1:11">
      <c r="A1" s="1" t="s">
        <v>403</v>
      </c>
      <c r="B1" s="1" t="s">
        <v>404</v>
      </c>
      <c r="C1" s="1" t="s">
        <v>405</v>
      </c>
      <c r="D1" s="1" t="s">
        <v>406</v>
      </c>
      <c r="E1" s="1" t="s">
        <v>407</v>
      </c>
      <c r="F1" s="1" t="s">
        <v>408</v>
      </c>
      <c r="G1" s="1" t="s">
        <v>409</v>
      </c>
      <c r="H1" s="1" t="s">
        <v>410</v>
      </c>
      <c r="I1" s="1" t="s">
        <v>411</v>
      </c>
      <c r="J1" s="1" t="s">
        <v>412</v>
      </c>
      <c r="K1" s="4" t="s">
        <v>6</v>
      </c>
    </row>
    <row r="2" spans="1:11" ht="225">
      <c r="A2" s="19" t="s">
        <v>8</v>
      </c>
      <c r="B2" s="13" t="s">
        <v>301</v>
      </c>
      <c r="C2" s="13" t="s">
        <v>9</v>
      </c>
      <c r="D2" s="13" t="s">
        <v>413</v>
      </c>
      <c r="E2" s="13" t="s">
        <v>309</v>
      </c>
      <c r="F2" s="13" t="s">
        <v>414</v>
      </c>
      <c r="G2" s="13" t="s">
        <v>415</v>
      </c>
      <c r="H2" s="13" t="s">
        <v>416</v>
      </c>
      <c r="I2" s="13" t="s">
        <v>417</v>
      </c>
      <c r="J2" s="13" t="s">
        <v>418</v>
      </c>
      <c r="K2" s="13"/>
    </row>
    <row r="3" spans="1:11" ht="255">
      <c r="A3" s="19" t="s">
        <v>36</v>
      </c>
      <c r="B3" s="13" t="s">
        <v>301</v>
      </c>
      <c r="C3" s="13" t="s">
        <v>37</v>
      </c>
      <c r="D3" s="13" t="s">
        <v>419</v>
      </c>
      <c r="E3" s="13" t="s">
        <v>420</v>
      </c>
      <c r="F3" s="13" t="s">
        <v>414</v>
      </c>
      <c r="G3" s="13" t="s">
        <v>415</v>
      </c>
      <c r="H3" s="13" t="s">
        <v>421</v>
      </c>
      <c r="I3" s="13"/>
      <c r="J3" s="13" t="s">
        <v>422</v>
      </c>
      <c r="K3" s="13"/>
    </row>
    <row r="4" spans="1:11" ht="90">
      <c r="A4" s="19" t="s">
        <v>55</v>
      </c>
      <c r="B4" s="13" t="s">
        <v>301</v>
      </c>
      <c r="C4" s="13" t="s">
        <v>56</v>
      </c>
      <c r="D4" s="13" t="s">
        <v>423</v>
      </c>
      <c r="E4" s="13" t="s">
        <v>424</v>
      </c>
      <c r="F4" s="13" t="s">
        <v>414</v>
      </c>
      <c r="G4" s="13" t="s">
        <v>415</v>
      </c>
      <c r="H4" s="13" t="s">
        <v>425</v>
      </c>
      <c r="I4" s="13" t="s">
        <v>426</v>
      </c>
      <c r="J4" s="13" t="s">
        <v>427</v>
      </c>
      <c r="K4" s="13"/>
    </row>
    <row r="5" spans="1:11" ht="90">
      <c r="A5" s="19" t="s">
        <v>66</v>
      </c>
      <c r="B5" s="13" t="s">
        <v>301</v>
      </c>
      <c r="C5" s="13" t="s">
        <v>428</v>
      </c>
      <c r="D5" s="13" t="s">
        <v>429</v>
      </c>
      <c r="E5" s="13" t="s">
        <v>68</v>
      </c>
      <c r="F5" s="20" t="s">
        <v>430</v>
      </c>
      <c r="G5" s="13" t="s">
        <v>415</v>
      </c>
      <c r="H5" s="13" t="s">
        <v>425</v>
      </c>
      <c r="I5" s="13" t="s">
        <v>426</v>
      </c>
      <c r="J5" s="13" t="s">
        <v>431</v>
      </c>
      <c r="K5" s="13"/>
    </row>
    <row r="6" spans="1:11" ht="210">
      <c r="A6" s="19" t="s">
        <v>70</v>
      </c>
      <c r="B6" s="13" t="s">
        <v>301</v>
      </c>
      <c r="C6" s="13" t="s">
        <v>71</v>
      </c>
      <c r="D6" s="13" t="s">
        <v>432</v>
      </c>
      <c r="E6" s="13" t="s">
        <v>433</v>
      </c>
      <c r="F6" s="13" t="s">
        <v>414</v>
      </c>
      <c r="G6" s="13" t="s">
        <v>415</v>
      </c>
      <c r="H6" s="13" t="s">
        <v>416</v>
      </c>
      <c r="I6" s="13" t="s">
        <v>434</v>
      </c>
      <c r="J6" s="13" t="s">
        <v>435</v>
      </c>
      <c r="K6" s="13"/>
    </row>
    <row r="7" spans="1:11" ht="75">
      <c r="A7" s="19" t="s">
        <v>83</v>
      </c>
      <c r="B7" s="13" t="s">
        <v>301</v>
      </c>
      <c r="C7" s="13" t="s">
        <v>436</v>
      </c>
      <c r="D7" s="13" t="s">
        <v>437</v>
      </c>
      <c r="E7" s="13" t="s">
        <v>85</v>
      </c>
      <c r="F7" s="20" t="s">
        <v>430</v>
      </c>
      <c r="G7" s="13" t="s">
        <v>415</v>
      </c>
      <c r="H7" s="13" t="s">
        <v>416</v>
      </c>
      <c r="I7" s="13" t="s">
        <v>438</v>
      </c>
      <c r="J7" s="13" t="s">
        <v>439</v>
      </c>
      <c r="K7" s="13"/>
    </row>
    <row r="8" spans="1:11" ht="60">
      <c r="A8" s="19" t="s">
        <v>88</v>
      </c>
      <c r="B8" s="13" t="s">
        <v>440</v>
      </c>
      <c r="C8" s="13" t="s">
        <v>89</v>
      </c>
      <c r="D8" s="13" t="s">
        <v>441</v>
      </c>
      <c r="E8" s="13" t="s">
        <v>442</v>
      </c>
      <c r="F8" s="13" t="s">
        <v>414</v>
      </c>
      <c r="G8" s="13" t="s">
        <v>415</v>
      </c>
      <c r="H8" s="13" t="s">
        <v>425</v>
      </c>
      <c r="I8" s="13" t="s">
        <v>443</v>
      </c>
      <c r="J8" s="13" t="s">
        <v>444</v>
      </c>
      <c r="K8" s="13"/>
    </row>
    <row r="9" spans="1:11" ht="45">
      <c r="A9" s="19" t="s">
        <v>122</v>
      </c>
      <c r="B9" s="13" t="s">
        <v>440</v>
      </c>
      <c r="C9" s="13" t="s">
        <v>123</v>
      </c>
      <c r="D9" s="13" t="s">
        <v>445</v>
      </c>
      <c r="E9" s="13" t="s">
        <v>446</v>
      </c>
      <c r="F9" s="13" t="s">
        <v>414</v>
      </c>
      <c r="G9" s="13" t="s">
        <v>415</v>
      </c>
      <c r="H9" s="13" t="s">
        <v>425</v>
      </c>
      <c r="I9" s="13" t="s">
        <v>426</v>
      </c>
      <c r="J9" s="13" t="s">
        <v>447</v>
      </c>
      <c r="K9" s="13"/>
    </row>
    <row r="10" spans="1:11" ht="60">
      <c r="A10" s="19" t="s">
        <v>131</v>
      </c>
      <c r="B10" s="13" t="s">
        <v>440</v>
      </c>
      <c r="C10" s="13" t="s">
        <v>448</v>
      </c>
      <c r="D10" s="13" t="s">
        <v>449</v>
      </c>
      <c r="E10" s="13" t="s">
        <v>450</v>
      </c>
      <c r="F10" s="20" t="s">
        <v>430</v>
      </c>
      <c r="G10" s="13" t="s">
        <v>415</v>
      </c>
      <c r="H10" s="13" t="s">
        <v>416</v>
      </c>
      <c r="I10" s="13" t="s">
        <v>451</v>
      </c>
      <c r="J10" s="13" t="s">
        <v>452</v>
      </c>
      <c r="K10" s="13"/>
    </row>
    <row r="11" spans="1:11" ht="75">
      <c r="A11" s="19" t="s">
        <v>140</v>
      </c>
      <c r="B11" s="13" t="s">
        <v>440</v>
      </c>
      <c r="C11" s="13" t="s">
        <v>141</v>
      </c>
      <c r="D11" s="13" t="s">
        <v>453</v>
      </c>
      <c r="E11" s="13" t="s">
        <v>142</v>
      </c>
      <c r="F11" s="13" t="s">
        <v>414</v>
      </c>
      <c r="G11" s="13" t="s">
        <v>415</v>
      </c>
      <c r="H11" s="13" t="s">
        <v>416</v>
      </c>
      <c r="I11" s="13" t="s">
        <v>454</v>
      </c>
      <c r="J11" s="13" t="s">
        <v>455</v>
      </c>
      <c r="K11" s="13"/>
    </row>
    <row r="12" spans="1:11" ht="75">
      <c r="A12" s="19" t="s">
        <v>146</v>
      </c>
      <c r="B12" s="13" t="s">
        <v>440</v>
      </c>
      <c r="C12" s="13" t="s">
        <v>456</v>
      </c>
      <c r="D12" s="13" t="s">
        <v>457</v>
      </c>
      <c r="E12" s="13" t="s">
        <v>458</v>
      </c>
      <c r="F12" s="20" t="s">
        <v>430</v>
      </c>
      <c r="G12" s="13" t="s">
        <v>415</v>
      </c>
      <c r="H12" s="13" t="s">
        <v>425</v>
      </c>
      <c r="I12" s="13" t="s">
        <v>426</v>
      </c>
      <c r="J12" s="13" t="s">
        <v>459</v>
      </c>
      <c r="K12" s="13"/>
    </row>
    <row r="13" spans="1:11" ht="60">
      <c r="A13" s="19" t="s">
        <v>153</v>
      </c>
      <c r="B13" s="13" t="s">
        <v>460</v>
      </c>
      <c r="C13" s="13" t="s">
        <v>461</v>
      </c>
      <c r="D13" s="13" t="s">
        <v>462</v>
      </c>
      <c r="E13" s="13" t="s">
        <v>463</v>
      </c>
      <c r="F13" s="20" t="s">
        <v>430</v>
      </c>
      <c r="G13" s="13" t="s">
        <v>415</v>
      </c>
      <c r="H13" s="13" t="s">
        <v>425</v>
      </c>
      <c r="I13" s="13" t="s">
        <v>464</v>
      </c>
      <c r="J13" s="13" t="s">
        <v>465</v>
      </c>
      <c r="K13" s="13"/>
    </row>
    <row r="14" spans="1:11" ht="60">
      <c r="A14" s="19" t="s">
        <v>165</v>
      </c>
      <c r="B14" s="13" t="s">
        <v>460</v>
      </c>
      <c r="C14" s="13" t="s">
        <v>466</v>
      </c>
      <c r="D14" s="13" t="s">
        <v>467</v>
      </c>
      <c r="E14" s="13" t="s">
        <v>468</v>
      </c>
      <c r="F14" s="20" t="s">
        <v>430</v>
      </c>
      <c r="G14" s="13" t="s">
        <v>415</v>
      </c>
      <c r="H14" s="13" t="s">
        <v>416</v>
      </c>
      <c r="I14" s="13" t="s">
        <v>469</v>
      </c>
      <c r="J14" s="13" t="s">
        <v>470</v>
      </c>
      <c r="K14" s="13"/>
    </row>
    <row r="15" spans="1:11" ht="60">
      <c r="A15" s="19" t="s">
        <v>182</v>
      </c>
      <c r="B15" s="13" t="s">
        <v>460</v>
      </c>
      <c r="C15" s="13" t="s">
        <v>183</v>
      </c>
      <c r="D15" s="13" t="s">
        <v>471</v>
      </c>
      <c r="E15" s="13" t="s">
        <v>472</v>
      </c>
      <c r="F15" s="13" t="s">
        <v>414</v>
      </c>
      <c r="G15" s="13" t="s">
        <v>415</v>
      </c>
      <c r="H15" s="13" t="s">
        <v>473</v>
      </c>
      <c r="I15" s="13"/>
      <c r="J15" s="13" t="s">
        <v>474</v>
      </c>
      <c r="K15" s="13"/>
    </row>
    <row r="16" spans="1:11" ht="60">
      <c r="A16" s="19" t="s">
        <v>192</v>
      </c>
      <c r="B16" s="13" t="s">
        <v>460</v>
      </c>
      <c r="C16" s="13" t="s">
        <v>475</v>
      </c>
      <c r="D16" s="13" t="s">
        <v>476</v>
      </c>
      <c r="E16" s="13" t="s">
        <v>17</v>
      </c>
      <c r="F16" s="20" t="s">
        <v>430</v>
      </c>
      <c r="G16" s="13" t="s">
        <v>415</v>
      </c>
      <c r="H16" s="13" t="s">
        <v>416</v>
      </c>
      <c r="I16" s="13" t="s">
        <v>477</v>
      </c>
      <c r="J16" s="13" t="s">
        <v>465</v>
      </c>
      <c r="K16" s="13"/>
    </row>
    <row r="17" spans="1:11" ht="60">
      <c r="A17" s="19" t="s">
        <v>195</v>
      </c>
      <c r="B17" s="13" t="s">
        <v>460</v>
      </c>
      <c r="C17" s="13" t="s">
        <v>478</v>
      </c>
      <c r="D17" s="13" t="s">
        <v>479</v>
      </c>
      <c r="E17" s="13" t="s">
        <v>197</v>
      </c>
      <c r="F17" s="20" t="s">
        <v>430</v>
      </c>
      <c r="G17" s="13" t="s">
        <v>415</v>
      </c>
      <c r="H17" s="13" t="s">
        <v>421</v>
      </c>
      <c r="I17" s="13" t="s">
        <v>480</v>
      </c>
      <c r="J17" s="13" t="s">
        <v>452</v>
      </c>
      <c r="K17" s="13"/>
    </row>
    <row r="18" spans="1:11" ht="45">
      <c r="A18" s="19" t="s">
        <v>199</v>
      </c>
      <c r="B18" s="13" t="s">
        <v>460</v>
      </c>
      <c r="C18" s="13" t="s">
        <v>200</v>
      </c>
      <c r="D18" s="13" t="s">
        <v>481</v>
      </c>
      <c r="E18" s="13" t="s">
        <v>482</v>
      </c>
      <c r="F18" s="13" t="s">
        <v>414</v>
      </c>
      <c r="G18" s="13" t="s">
        <v>415</v>
      </c>
      <c r="H18" s="13" t="s">
        <v>473</v>
      </c>
      <c r="I18" s="13"/>
      <c r="J18" s="13" t="s">
        <v>483</v>
      </c>
      <c r="K18" s="13"/>
    </row>
    <row r="19" spans="1:11" ht="75">
      <c r="A19" s="19" t="s">
        <v>203</v>
      </c>
      <c r="B19" s="13" t="s">
        <v>460</v>
      </c>
      <c r="C19" s="13" t="s">
        <v>204</v>
      </c>
      <c r="D19" s="13" t="s">
        <v>467</v>
      </c>
      <c r="E19" s="13" t="s">
        <v>168</v>
      </c>
      <c r="F19" s="13" t="s">
        <v>414</v>
      </c>
      <c r="G19" s="13" t="s">
        <v>415</v>
      </c>
      <c r="H19" s="13" t="s">
        <v>473</v>
      </c>
      <c r="I19" s="13"/>
      <c r="J19" s="13" t="s">
        <v>484</v>
      </c>
      <c r="K19" s="13"/>
    </row>
    <row r="20" spans="1:11" ht="60">
      <c r="A20" s="19" t="s">
        <v>206</v>
      </c>
      <c r="B20" s="13" t="s">
        <v>460</v>
      </c>
      <c r="C20" s="13" t="s">
        <v>207</v>
      </c>
      <c r="D20" s="13" t="s">
        <v>485</v>
      </c>
      <c r="E20" s="13" t="s">
        <v>59</v>
      </c>
      <c r="F20" s="13" t="s">
        <v>414</v>
      </c>
      <c r="G20" s="13" t="s">
        <v>415</v>
      </c>
      <c r="H20" s="13" t="s">
        <v>473</v>
      </c>
      <c r="I20" s="13"/>
      <c r="J20" s="13" t="s">
        <v>486</v>
      </c>
      <c r="K20" s="13"/>
    </row>
    <row r="21" spans="1:11" ht="150">
      <c r="A21" s="19" t="s">
        <v>210</v>
      </c>
      <c r="B21" s="13" t="s">
        <v>400</v>
      </c>
      <c r="C21" s="13" t="s">
        <v>487</v>
      </c>
      <c r="D21" s="13" t="s">
        <v>437</v>
      </c>
      <c r="E21" s="13" t="s">
        <v>488</v>
      </c>
      <c r="F21" s="18" t="s">
        <v>489</v>
      </c>
      <c r="G21" s="13" t="s">
        <v>415</v>
      </c>
      <c r="H21" s="13" t="s">
        <v>425</v>
      </c>
      <c r="I21" s="13" t="s">
        <v>490</v>
      </c>
      <c r="J21" s="13" t="s">
        <v>491</v>
      </c>
      <c r="K21" s="13"/>
    </row>
    <row r="22" spans="1:11" ht="90">
      <c r="A22" s="19" t="s">
        <v>223</v>
      </c>
      <c r="B22" s="13" t="s">
        <v>400</v>
      </c>
      <c r="C22" s="13" t="s">
        <v>492</v>
      </c>
      <c r="D22" s="13" t="s">
        <v>437</v>
      </c>
      <c r="E22" s="13" t="s">
        <v>493</v>
      </c>
      <c r="F22" s="20" t="s">
        <v>430</v>
      </c>
      <c r="G22" s="13" t="s">
        <v>415</v>
      </c>
      <c r="H22" s="13" t="s">
        <v>425</v>
      </c>
      <c r="I22" s="13" t="s">
        <v>494</v>
      </c>
      <c r="J22" s="13" t="s">
        <v>495</v>
      </c>
      <c r="K22" s="13"/>
    </row>
    <row r="23" spans="1:11" ht="120">
      <c r="A23" s="19" t="s">
        <v>230</v>
      </c>
      <c r="B23" s="13" t="s">
        <v>496</v>
      </c>
      <c r="C23" s="13" t="s">
        <v>497</v>
      </c>
      <c r="D23" s="13" t="s">
        <v>498</v>
      </c>
      <c r="E23" s="13" t="s">
        <v>499</v>
      </c>
      <c r="F23" s="18" t="s">
        <v>489</v>
      </c>
      <c r="G23" s="13" t="s">
        <v>415</v>
      </c>
      <c r="H23" s="13" t="s">
        <v>421</v>
      </c>
      <c r="I23" s="13" t="s">
        <v>500</v>
      </c>
      <c r="J23" s="13" t="s">
        <v>501</v>
      </c>
      <c r="K23" s="13"/>
    </row>
    <row r="24" spans="1:11" ht="60">
      <c r="A24" s="19" t="s">
        <v>236</v>
      </c>
      <c r="B24" s="13" t="s">
        <v>496</v>
      </c>
      <c r="C24" s="13" t="s">
        <v>502</v>
      </c>
      <c r="D24" s="13" t="s">
        <v>503</v>
      </c>
      <c r="E24" s="13" t="s">
        <v>238</v>
      </c>
      <c r="F24" s="20" t="s">
        <v>430</v>
      </c>
      <c r="G24" s="13" t="s">
        <v>415</v>
      </c>
      <c r="H24" s="13" t="s">
        <v>421</v>
      </c>
      <c r="I24" s="13"/>
      <c r="J24" s="13" t="s">
        <v>504</v>
      </c>
      <c r="K24" s="13"/>
    </row>
    <row r="25" spans="1:11" ht="75">
      <c r="A25" s="19" t="s">
        <v>241</v>
      </c>
      <c r="B25" s="13" t="s">
        <v>505</v>
      </c>
      <c r="C25" s="13" t="s">
        <v>506</v>
      </c>
      <c r="D25" s="13" t="s">
        <v>507</v>
      </c>
      <c r="E25" s="13" t="s">
        <v>508</v>
      </c>
      <c r="F25" s="20" t="s">
        <v>430</v>
      </c>
      <c r="G25" s="13" t="s">
        <v>415</v>
      </c>
      <c r="H25" s="13" t="s">
        <v>421</v>
      </c>
      <c r="I25" s="13"/>
      <c r="J25" s="13" t="s">
        <v>509</v>
      </c>
      <c r="K25" s="13"/>
    </row>
    <row r="26" spans="1:11" ht="60">
      <c r="A26" s="19" t="s">
        <v>245</v>
      </c>
      <c r="B26" s="13" t="s">
        <v>505</v>
      </c>
      <c r="C26" s="13" t="s">
        <v>510</v>
      </c>
      <c r="D26" s="13" t="s">
        <v>511</v>
      </c>
      <c r="E26" s="13" t="s">
        <v>129</v>
      </c>
      <c r="F26" s="20" t="s">
        <v>430</v>
      </c>
      <c r="G26" s="13" t="s">
        <v>415</v>
      </c>
      <c r="H26" s="13" t="s">
        <v>421</v>
      </c>
      <c r="I26" s="13"/>
      <c r="J26" s="13" t="s">
        <v>512</v>
      </c>
      <c r="K26" s="13"/>
    </row>
    <row r="27" spans="1:11" ht="60">
      <c r="A27" s="19" t="s">
        <v>248</v>
      </c>
      <c r="B27" s="13" t="s">
        <v>505</v>
      </c>
      <c r="C27" s="13" t="s">
        <v>513</v>
      </c>
      <c r="D27" s="13" t="s">
        <v>514</v>
      </c>
      <c r="E27" s="13" t="s">
        <v>233</v>
      </c>
      <c r="F27" s="20" t="s">
        <v>430</v>
      </c>
      <c r="G27" s="13" t="s">
        <v>415</v>
      </c>
      <c r="H27" s="13" t="s">
        <v>421</v>
      </c>
      <c r="I27" s="13"/>
      <c r="J27" s="13" t="s">
        <v>512</v>
      </c>
      <c r="K27" s="13"/>
    </row>
    <row r="28" spans="1:11" ht="90">
      <c r="A28" s="19" t="s">
        <v>252</v>
      </c>
      <c r="B28" s="13" t="s">
        <v>515</v>
      </c>
      <c r="C28" s="13" t="s">
        <v>516</v>
      </c>
      <c r="D28" s="13" t="s">
        <v>517</v>
      </c>
      <c r="E28" s="13" t="s">
        <v>518</v>
      </c>
      <c r="F28" s="20" t="s">
        <v>430</v>
      </c>
      <c r="G28" s="13" t="s">
        <v>415</v>
      </c>
      <c r="H28" s="13" t="s">
        <v>421</v>
      </c>
      <c r="I28" s="13"/>
      <c r="J28" s="13" t="s">
        <v>519</v>
      </c>
      <c r="K28" s="13"/>
    </row>
    <row r="29" spans="1:11" ht="60">
      <c r="A29" s="19" t="s">
        <v>258</v>
      </c>
      <c r="B29" s="13" t="s">
        <v>515</v>
      </c>
      <c r="C29" s="13" t="s">
        <v>520</v>
      </c>
      <c r="D29" s="13" t="s">
        <v>521</v>
      </c>
      <c r="E29" s="13" t="s">
        <v>53</v>
      </c>
      <c r="F29" s="20" t="s">
        <v>430</v>
      </c>
      <c r="G29" s="13" t="s">
        <v>415</v>
      </c>
      <c r="H29" s="13" t="s">
        <v>421</v>
      </c>
      <c r="I29" s="13"/>
      <c r="J29" s="13" t="s">
        <v>452</v>
      </c>
      <c r="K29" s="13"/>
    </row>
    <row r="30" spans="1:11" ht="60">
      <c r="A30" s="19" t="s">
        <v>261</v>
      </c>
      <c r="B30" s="13" t="s">
        <v>515</v>
      </c>
      <c r="C30" s="13" t="s">
        <v>522</v>
      </c>
      <c r="D30" s="13" t="s">
        <v>523</v>
      </c>
      <c r="E30" s="13" t="s">
        <v>524</v>
      </c>
      <c r="F30" s="20" t="s">
        <v>430</v>
      </c>
      <c r="G30" s="13" t="s">
        <v>415</v>
      </c>
      <c r="H30" s="13" t="s">
        <v>421</v>
      </c>
      <c r="I30" s="13"/>
      <c r="J30" s="13" t="s">
        <v>452</v>
      </c>
      <c r="K30" s="13"/>
    </row>
    <row r="31" spans="1:11" ht="60">
      <c r="A31" s="19" t="s">
        <v>266</v>
      </c>
      <c r="B31" s="13" t="s">
        <v>525</v>
      </c>
      <c r="C31" s="13" t="s">
        <v>526</v>
      </c>
      <c r="D31" s="13" t="s">
        <v>527</v>
      </c>
      <c r="E31" s="13" t="s">
        <v>528</v>
      </c>
      <c r="F31" s="20" t="s">
        <v>430</v>
      </c>
      <c r="G31" s="13" t="s">
        <v>415</v>
      </c>
      <c r="H31" s="13" t="s">
        <v>421</v>
      </c>
      <c r="I31" s="13"/>
      <c r="J31" s="13" t="s">
        <v>529</v>
      </c>
      <c r="K31" s="13"/>
    </row>
  </sheetData>
  <autoFilter ref="A1:K3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3"/>
  <sheetViews>
    <sheetView workbookViewId="0">
      <pane ySplit="1" topLeftCell="A2" activePane="bottomLeft" state="frozen"/>
      <selection pane="bottomLeft"/>
    </sheetView>
  </sheetViews>
  <sheetFormatPr defaultRowHeight="15"/>
  <cols>
    <col min="1" max="1" width="12" customWidth="1"/>
    <col min="2" max="2" width="18" customWidth="1"/>
    <col min="3" max="3" width="55" customWidth="1"/>
    <col min="4" max="4" width="12" customWidth="1"/>
    <col min="5" max="5" width="10" customWidth="1"/>
    <col min="6" max="6" width="18" customWidth="1"/>
    <col min="7" max="7" width="30" customWidth="1"/>
    <col min="8" max="8" width="22" customWidth="1"/>
    <col min="9" max="9" width="14" customWidth="1"/>
    <col min="10" max="10" width="30" customWidth="1"/>
    <col min="11" max="11" width="11" customWidth="1"/>
    <col min="12" max="12" width="10" customWidth="1"/>
    <col min="13" max="13" width="8" customWidth="1"/>
    <col min="14" max="14" width="28" customWidth="1"/>
    <col min="15" max="15" width="70" customWidth="1"/>
    <col min="16" max="16" width="40" customWidth="1"/>
  </cols>
  <sheetData>
    <row r="1" spans="1:16">
      <c r="A1" s="2" t="s">
        <v>403</v>
      </c>
      <c r="B1" s="2" t="s">
        <v>530</v>
      </c>
      <c r="C1" s="2" t="s">
        <v>405</v>
      </c>
      <c r="D1" s="2" t="s">
        <v>531</v>
      </c>
      <c r="E1" s="2" t="s">
        <v>532</v>
      </c>
      <c r="F1" s="2" t="s">
        <v>533</v>
      </c>
      <c r="G1" s="2" t="s">
        <v>534</v>
      </c>
      <c r="H1" s="2" t="s">
        <v>535</v>
      </c>
      <c r="I1" s="2" t="s">
        <v>272</v>
      </c>
      <c r="J1" s="2" t="s">
        <v>536</v>
      </c>
      <c r="K1" s="2" t="s">
        <v>408</v>
      </c>
      <c r="L1" s="2" t="s">
        <v>409</v>
      </c>
      <c r="M1" s="2" t="s">
        <v>410</v>
      </c>
      <c r="N1" s="2" t="s">
        <v>411</v>
      </c>
      <c r="O1" s="2" t="s">
        <v>412</v>
      </c>
      <c r="P1" s="4" t="s">
        <v>6</v>
      </c>
    </row>
    <row r="2" spans="1:16" ht="45">
      <c r="A2" s="19" t="s">
        <v>10</v>
      </c>
      <c r="B2" s="13" t="s">
        <v>537</v>
      </c>
      <c r="C2" s="13" t="s">
        <v>538</v>
      </c>
      <c r="D2" s="13" t="s">
        <v>539</v>
      </c>
      <c r="E2" s="13" t="s">
        <v>540</v>
      </c>
      <c r="F2" s="13" t="s">
        <v>541</v>
      </c>
      <c r="G2" s="13" t="s">
        <v>542</v>
      </c>
      <c r="H2" s="13" t="s">
        <v>12</v>
      </c>
      <c r="I2" s="13" t="s">
        <v>543</v>
      </c>
      <c r="J2" s="13"/>
      <c r="K2" s="13" t="s">
        <v>414</v>
      </c>
      <c r="L2" s="13" t="s">
        <v>415</v>
      </c>
      <c r="M2" s="13" t="s">
        <v>416</v>
      </c>
      <c r="N2" s="13" t="s">
        <v>544</v>
      </c>
      <c r="O2" s="13" t="s">
        <v>545</v>
      </c>
      <c r="P2" s="13"/>
    </row>
    <row r="3" spans="1:16" ht="90">
      <c r="A3" s="19" t="s">
        <v>14</v>
      </c>
      <c r="B3" s="13" t="s">
        <v>537</v>
      </c>
      <c r="C3" s="13" t="s">
        <v>15</v>
      </c>
      <c r="D3" s="13" t="s">
        <v>539</v>
      </c>
      <c r="E3" s="13" t="s">
        <v>540</v>
      </c>
      <c r="F3" s="13" t="s">
        <v>8</v>
      </c>
      <c r="G3" s="13" t="s">
        <v>546</v>
      </c>
      <c r="H3" s="13" t="s">
        <v>12</v>
      </c>
      <c r="I3" s="13" t="s">
        <v>547</v>
      </c>
      <c r="J3" s="13"/>
      <c r="K3" s="13" t="s">
        <v>414</v>
      </c>
      <c r="L3" s="13" t="s">
        <v>415</v>
      </c>
      <c r="M3" s="13" t="s">
        <v>416</v>
      </c>
      <c r="N3" s="13" t="s">
        <v>548</v>
      </c>
      <c r="O3" s="13" t="s">
        <v>549</v>
      </c>
      <c r="P3" s="13"/>
    </row>
    <row r="4" spans="1:16" ht="90">
      <c r="A4" s="19" t="s">
        <v>212</v>
      </c>
      <c r="B4" s="13" t="s">
        <v>537</v>
      </c>
      <c r="C4" s="13" t="s">
        <v>550</v>
      </c>
      <c r="D4" s="13" t="s">
        <v>551</v>
      </c>
      <c r="E4" s="13" t="s">
        <v>540</v>
      </c>
      <c r="F4" s="13" t="s">
        <v>552</v>
      </c>
      <c r="G4" s="13" t="s">
        <v>542</v>
      </c>
      <c r="H4" s="13" t="s">
        <v>12</v>
      </c>
      <c r="I4" s="13" t="s">
        <v>543</v>
      </c>
      <c r="J4" s="13" t="s">
        <v>553</v>
      </c>
      <c r="K4" s="13" t="s">
        <v>414</v>
      </c>
      <c r="L4" s="13" t="s">
        <v>415</v>
      </c>
      <c r="M4" s="13" t="s">
        <v>421</v>
      </c>
      <c r="N4" s="13" t="s">
        <v>554</v>
      </c>
      <c r="O4" s="13" t="s">
        <v>555</v>
      </c>
      <c r="P4" s="13"/>
    </row>
    <row r="5" spans="1:16" ht="90">
      <c r="A5" s="19" t="s">
        <v>155</v>
      </c>
      <c r="B5" s="13" t="s">
        <v>537</v>
      </c>
      <c r="C5" s="13" t="s">
        <v>556</v>
      </c>
      <c r="D5" s="13" t="s">
        <v>539</v>
      </c>
      <c r="E5" s="13" t="s">
        <v>540</v>
      </c>
      <c r="F5" s="13" t="s">
        <v>557</v>
      </c>
      <c r="G5" s="13" t="s">
        <v>558</v>
      </c>
      <c r="H5" s="13" t="s">
        <v>559</v>
      </c>
      <c r="I5" s="13" t="s">
        <v>543</v>
      </c>
      <c r="J5" s="13"/>
      <c r="K5" s="13" t="s">
        <v>414</v>
      </c>
      <c r="L5" s="13" t="s">
        <v>415</v>
      </c>
      <c r="M5" s="13" t="s">
        <v>425</v>
      </c>
      <c r="N5" s="13" t="s">
        <v>560</v>
      </c>
      <c r="O5" s="13" t="s">
        <v>561</v>
      </c>
      <c r="P5" s="13"/>
    </row>
    <row r="6" spans="1:16" ht="60">
      <c r="A6" s="19" t="s">
        <v>90</v>
      </c>
      <c r="B6" s="13" t="s">
        <v>537</v>
      </c>
      <c r="C6" s="13" t="s">
        <v>562</v>
      </c>
      <c r="D6" s="13" t="s">
        <v>563</v>
      </c>
      <c r="E6" s="13" t="s">
        <v>540</v>
      </c>
      <c r="F6" s="13" t="s">
        <v>564</v>
      </c>
      <c r="G6" s="13" t="s">
        <v>565</v>
      </c>
      <c r="H6" s="13" t="s">
        <v>92</v>
      </c>
      <c r="I6" s="13" t="s">
        <v>543</v>
      </c>
      <c r="J6" s="13"/>
      <c r="K6" s="13" t="s">
        <v>414</v>
      </c>
      <c r="L6" s="13" t="s">
        <v>415</v>
      </c>
      <c r="M6" s="13" t="s">
        <v>425</v>
      </c>
      <c r="N6" s="13" t="s">
        <v>566</v>
      </c>
      <c r="O6" s="13" t="s">
        <v>567</v>
      </c>
      <c r="P6" s="13"/>
    </row>
    <row r="7" spans="1:16" ht="45">
      <c r="A7" s="19" t="s">
        <v>168</v>
      </c>
      <c r="B7" s="13" t="s">
        <v>537</v>
      </c>
      <c r="C7" s="13" t="s">
        <v>568</v>
      </c>
      <c r="D7" s="13" t="s">
        <v>563</v>
      </c>
      <c r="E7" s="13" t="s">
        <v>540</v>
      </c>
      <c r="F7" s="13" t="s">
        <v>569</v>
      </c>
      <c r="G7" s="13" t="s">
        <v>570</v>
      </c>
      <c r="H7" s="13" t="s">
        <v>571</v>
      </c>
      <c r="I7" s="13" t="s">
        <v>543</v>
      </c>
      <c r="J7" s="13"/>
      <c r="K7" s="13" t="s">
        <v>414</v>
      </c>
      <c r="L7" s="13" t="s">
        <v>415</v>
      </c>
      <c r="M7" s="13" t="s">
        <v>416</v>
      </c>
      <c r="N7" s="13" t="s">
        <v>469</v>
      </c>
      <c r="O7" s="13" t="s">
        <v>572</v>
      </c>
      <c r="P7" s="13"/>
    </row>
    <row r="8" spans="1:16" ht="75">
      <c r="A8" s="19" t="s">
        <v>125</v>
      </c>
      <c r="B8" s="13" t="s">
        <v>537</v>
      </c>
      <c r="C8" s="13" t="s">
        <v>573</v>
      </c>
      <c r="D8" s="13" t="s">
        <v>551</v>
      </c>
      <c r="E8" s="13" t="s">
        <v>540</v>
      </c>
      <c r="F8" s="13" t="s">
        <v>574</v>
      </c>
      <c r="G8" s="13" t="s">
        <v>575</v>
      </c>
      <c r="H8" s="13"/>
      <c r="I8" s="13" t="s">
        <v>543</v>
      </c>
      <c r="J8" s="13"/>
      <c r="K8" s="20" t="s">
        <v>430</v>
      </c>
      <c r="L8" s="13" t="s">
        <v>415</v>
      </c>
      <c r="M8" s="13" t="s">
        <v>425</v>
      </c>
      <c r="N8" s="13" t="s">
        <v>426</v>
      </c>
      <c r="O8" s="13" t="s">
        <v>576</v>
      </c>
      <c r="P8" s="13"/>
    </row>
    <row r="9" spans="1:16" ht="60">
      <c r="A9" s="19" t="s">
        <v>197</v>
      </c>
      <c r="B9" s="13" t="s">
        <v>537</v>
      </c>
      <c r="C9" s="13" t="s">
        <v>577</v>
      </c>
      <c r="D9" s="13" t="s">
        <v>551</v>
      </c>
      <c r="E9" s="13" t="s">
        <v>540</v>
      </c>
      <c r="F9" s="13" t="s">
        <v>578</v>
      </c>
      <c r="G9" s="13" t="s">
        <v>579</v>
      </c>
      <c r="H9" s="13"/>
      <c r="I9" s="13" t="s">
        <v>543</v>
      </c>
      <c r="J9" s="13"/>
      <c r="K9" s="20" t="s">
        <v>430</v>
      </c>
      <c r="L9" s="13" t="s">
        <v>415</v>
      </c>
      <c r="M9" s="13" t="s">
        <v>421</v>
      </c>
      <c r="N9" s="13" t="s">
        <v>480</v>
      </c>
      <c r="O9" s="13" t="s">
        <v>580</v>
      </c>
      <c r="P9" s="13"/>
    </row>
    <row r="10" spans="1:16" ht="75">
      <c r="A10" s="19" t="s">
        <v>68</v>
      </c>
      <c r="B10" s="13" t="s">
        <v>581</v>
      </c>
      <c r="C10" s="13" t="s">
        <v>582</v>
      </c>
      <c r="D10" s="13" t="s">
        <v>539</v>
      </c>
      <c r="E10" s="13" t="s">
        <v>540</v>
      </c>
      <c r="F10" s="13" t="s">
        <v>66</v>
      </c>
      <c r="G10" s="13" t="s">
        <v>583</v>
      </c>
      <c r="H10" s="13"/>
      <c r="I10" s="13" t="s">
        <v>584</v>
      </c>
      <c r="J10" s="13"/>
      <c r="K10" s="20" t="s">
        <v>430</v>
      </c>
      <c r="L10" s="13" t="s">
        <v>415</v>
      </c>
      <c r="M10" s="13" t="s">
        <v>425</v>
      </c>
      <c r="N10" s="13" t="s">
        <v>426</v>
      </c>
      <c r="O10" s="13" t="s">
        <v>585</v>
      </c>
      <c r="P10" s="13"/>
    </row>
    <row r="11" spans="1:16" ht="75">
      <c r="A11" s="19" t="s">
        <v>148</v>
      </c>
      <c r="B11" s="13" t="s">
        <v>581</v>
      </c>
      <c r="C11" s="13" t="s">
        <v>586</v>
      </c>
      <c r="D11" s="13" t="s">
        <v>587</v>
      </c>
      <c r="E11" s="13" t="s">
        <v>540</v>
      </c>
      <c r="F11" s="13" t="s">
        <v>146</v>
      </c>
      <c r="G11" s="13" t="s">
        <v>588</v>
      </c>
      <c r="H11" s="13"/>
      <c r="I11" s="13" t="s">
        <v>547</v>
      </c>
      <c r="J11" s="13" t="s">
        <v>589</v>
      </c>
      <c r="K11" s="20" t="s">
        <v>430</v>
      </c>
      <c r="L11" s="13" t="s">
        <v>415</v>
      </c>
      <c r="M11" s="13" t="s">
        <v>425</v>
      </c>
      <c r="N11" s="13" t="s">
        <v>426</v>
      </c>
      <c r="O11" s="13" t="s">
        <v>585</v>
      </c>
      <c r="P11" s="13"/>
    </row>
    <row r="12" spans="1:16" ht="60">
      <c r="A12" s="19" t="s">
        <v>127</v>
      </c>
      <c r="B12" s="13" t="s">
        <v>581</v>
      </c>
      <c r="C12" s="13" t="s">
        <v>590</v>
      </c>
      <c r="D12" s="13" t="s">
        <v>587</v>
      </c>
      <c r="E12" s="13" t="s">
        <v>540</v>
      </c>
      <c r="F12" s="13" t="s">
        <v>591</v>
      </c>
      <c r="G12" s="13" t="s">
        <v>592</v>
      </c>
      <c r="H12" s="13"/>
      <c r="I12" s="13" t="s">
        <v>547</v>
      </c>
      <c r="J12" s="13" t="s">
        <v>593</v>
      </c>
      <c r="K12" s="20" t="s">
        <v>430</v>
      </c>
      <c r="L12" s="13" t="s">
        <v>415</v>
      </c>
      <c r="M12" s="13" t="s">
        <v>421</v>
      </c>
      <c r="N12" s="13" t="s">
        <v>426</v>
      </c>
      <c r="O12" s="13" t="s">
        <v>594</v>
      </c>
      <c r="P12" s="13"/>
    </row>
    <row r="13" spans="1:16" ht="60">
      <c r="A13" s="19" t="s">
        <v>57</v>
      </c>
      <c r="B13" s="13" t="s">
        <v>581</v>
      </c>
      <c r="C13" s="13" t="s">
        <v>595</v>
      </c>
      <c r="D13" s="13" t="s">
        <v>563</v>
      </c>
      <c r="E13" s="13" t="s">
        <v>540</v>
      </c>
      <c r="F13" s="13" t="s">
        <v>596</v>
      </c>
      <c r="G13" s="13" t="s">
        <v>588</v>
      </c>
      <c r="H13" s="13"/>
      <c r="I13" s="13" t="s">
        <v>543</v>
      </c>
      <c r="J13" s="13"/>
      <c r="K13" s="20" t="s">
        <v>430</v>
      </c>
      <c r="L13" s="13" t="s">
        <v>415</v>
      </c>
      <c r="M13" s="13" t="s">
        <v>421</v>
      </c>
      <c r="N13" s="13"/>
      <c r="O13" s="13" t="s">
        <v>594</v>
      </c>
      <c r="P13" s="13"/>
    </row>
    <row r="14" spans="1:16" ht="75">
      <c r="A14" s="19" t="s">
        <v>94</v>
      </c>
      <c r="B14" s="13" t="s">
        <v>597</v>
      </c>
      <c r="C14" s="13" t="s">
        <v>598</v>
      </c>
      <c r="D14" s="13" t="s">
        <v>587</v>
      </c>
      <c r="E14" s="13" t="s">
        <v>540</v>
      </c>
      <c r="F14" s="13" t="s">
        <v>599</v>
      </c>
      <c r="G14" s="13" t="s">
        <v>600</v>
      </c>
      <c r="H14" s="13" t="s">
        <v>601</v>
      </c>
      <c r="I14" s="13" t="s">
        <v>547</v>
      </c>
      <c r="J14" s="13" t="s">
        <v>602</v>
      </c>
      <c r="K14" s="13" t="s">
        <v>414</v>
      </c>
      <c r="L14" s="13" t="s">
        <v>415</v>
      </c>
      <c r="M14" s="13" t="s">
        <v>425</v>
      </c>
      <c r="N14" s="13" t="s">
        <v>443</v>
      </c>
      <c r="O14" s="13" t="s">
        <v>603</v>
      </c>
      <c r="P14" s="13"/>
    </row>
    <row r="15" spans="1:16" ht="60">
      <c r="A15" s="19" t="s">
        <v>102</v>
      </c>
      <c r="B15" s="13" t="s">
        <v>597</v>
      </c>
      <c r="C15" s="13" t="s">
        <v>604</v>
      </c>
      <c r="D15" s="13" t="s">
        <v>539</v>
      </c>
      <c r="E15" s="13" t="s">
        <v>540</v>
      </c>
      <c r="F15" s="13" t="s">
        <v>605</v>
      </c>
      <c r="G15" s="13" t="s">
        <v>606</v>
      </c>
      <c r="H15" s="13" t="s">
        <v>607</v>
      </c>
      <c r="I15" s="13" t="s">
        <v>547</v>
      </c>
      <c r="J15" s="13"/>
      <c r="K15" s="13" t="s">
        <v>414</v>
      </c>
      <c r="L15" s="13" t="s">
        <v>415</v>
      </c>
      <c r="M15" s="13" t="s">
        <v>416</v>
      </c>
      <c r="N15" s="13" t="s">
        <v>477</v>
      </c>
      <c r="O15" s="13" t="s">
        <v>608</v>
      </c>
      <c r="P15" s="13"/>
    </row>
    <row r="16" spans="1:16" ht="75">
      <c r="A16" s="19" t="s">
        <v>107</v>
      </c>
      <c r="B16" s="13" t="s">
        <v>597</v>
      </c>
      <c r="C16" s="13" t="s">
        <v>609</v>
      </c>
      <c r="D16" s="13" t="s">
        <v>563</v>
      </c>
      <c r="E16" s="13" t="s">
        <v>540</v>
      </c>
      <c r="F16" s="13" t="s">
        <v>610</v>
      </c>
      <c r="G16" s="13" t="s">
        <v>611</v>
      </c>
      <c r="H16" s="13"/>
      <c r="I16" s="13" t="s">
        <v>543</v>
      </c>
      <c r="J16" s="13"/>
      <c r="K16" s="20" t="s">
        <v>430</v>
      </c>
      <c r="L16" s="13" t="s">
        <v>415</v>
      </c>
      <c r="M16" s="13" t="s">
        <v>473</v>
      </c>
      <c r="N16" s="13"/>
      <c r="O16" s="13" t="s">
        <v>612</v>
      </c>
      <c r="P16" s="13"/>
    </row>
    <row r="17" spans="1:16" ht="90">
      <c r="A17" s="19" t="s">
        <v>59</v>
      </c>
      <c r="B17" s="13" t="s">
        <v>597</v>
      </c>
      <c r="C17" s="13" t="s">
        <v>613</v>
      </c>
      <c r="D17" s="13" t="s">
        <v>563</v>
      </c>
      <c r="E17" s="13" t="s">
        <v>540</v>
      </c>
      <c r="F17" s="13" t="s">
        <v>614</v>
      </c>
      <c r="G17" s="13" t="s">
        <v>615</v>
      </c>
      <c r="H17" s="13" t="s">
        <v>616</v>
      </c>
      <c r="I17" s="13" t="s">
        <v>543</v>
      </c>
      <c r="J17" s="13"/>
      <c r="K17" s="13" t="s">
        <v>414</v>
      </c>
      <c r="L17" s="13" t="s">
        <v>415</v>
      </c>
      <c r="M17" s="13" t="s">
        <v>473</v>
      </c>
      <c r="N17" s="13"/>
      <c r="O17" s="13" t="s">
        <v>617</v>
      </c>
      <c r="P17" s="13"/>
    </row>
    <row r="18" spans="1:16" ht="60">
      <c r="A18" s="19" t="s">
        <v>109</v>
      </c>
      <c r="B18" s="13" t="s">
        <v>597</v>
      </c>
      <c r="C18" s="13" t="s">
        <v>618</v>
      </c>
      <c r="D18" s="13" t="s">
        <v>539</v>
      </c>
      <c r="E18" s="13" t="s">
        <v>540</v>
      </c>
      <c r="F18" s="13" t="s">
        <v>619</v>
      </c>
      <c r="G18" s="13" t="s">
        <v>440</v>
      </c>
      <c r="H18" s="13"/>
      <c r="I18" s="13" t="s">
        <v>543</v>
      </c>
      <c r="J18" s="13"/>
      <c r="K18" s="20" t="s">
        <v>430</v>
      </c>
      <c r="L18" s="13" t="s">
        <v>415</v>
      </c>
      <c r="M18" s="13" t="s">
        <v>425</v>
      </c>
      <c r="N18" s="13" t="s">
        <v>443</v>
      </c>
      <c r="O18" s="13" t="s">
        <v>620</v>
      </c>
      <c r="P18" s="13"/>
    </row>
    <row r="19" spans="1:16" ht="60">
      <c r="A19" s="19" t="s">
        <v>160</v>
      </c>
      <c r="B19" s="13" t="s">
        <v>597</v>
      </c>
      <c r="C19" s="13" t="s">
        <v>621</v>
      </c>
      <c r="D19" s="13" t="s">
        <v>539</v>
      </c>
      <c r="E19" s="13" t="s">
        <v>540</v>
      </c>
      <c r="F19" s="13" t="s">
        <v>622</v>
      </c>
      <c r="G19" s="13" t="s">
        <v>623</v>
      </c>
      <c r="H19" s="13" t="s">
        <v>117</v>
      </c>
      <c r="I19" s="13" t="s">
        <v>543</v>
      </c>
      <c r="J19" s="13"/>
      <c r="K19" s="13" t="s">
        <v>414</v>
      </c>
      <c r="L19" s="13" t="s">
        <v>415</v>
      </c>
      <c r="M19" s="13" t="s">
        <v>425</v>
      </c>
      <c r="N19" s="13" t="s">
        <v>464</v>
      </c>
      <c r="O19" s="13" t="s">
        <v>624</v>
      </c>
      <c r="P19" s="13"/>
    </row>
    <row r="20" spans="1:16" ht="60">
      <c r="A20" s="19" t="s">
        <v>17</v>
      </c>
      <c r="B20" s="13" t="s">
        <v>597</v>
      </c>
      <c r="C20" s="13" t="s">
        <v>625</v>
      </c>
      <c r="D20" s="13" t="s">
        <v>539</v>
      </c>
      <c r="E20" s="13" t="s">
        <v>540</v>
      </c>
      <c r="F20" s="13" t="s">
        <v>626</v>
      </c>
      <c r="G20" s="13" t="s">
        <v>627</v>
      </c>
      <c r="H20" s="13" t="s">
        <v>628</v>
      </c>
      <c r="I20" s="13" t="s">
        <v>584</v>
      </c>
      <c r="J20" s="13"/>
      <c r="K20" s="13" t="s">
        <v>414</v>
      </c>
      <c r="L20" s="13" t="s">
        <v>415</v>
      </c>
      <c r="M20" s="13" t="s">
        <v>416</v>
      </c>
      <c r="N20" s="13" t="s">
        <v>477</v>
      </c>
      <c r="O20" s="13" t="s">
        <v>629</v>
      </c>
      <c r="P20" s="13"/>
    </row>
    <row r="21" spans="1:16" ht="105">
      <c r="A21" s="19" t="s">
        <v>184</v>
      </c>
      <c r="B21" s="13" t="s">
        <v>597</v>
      </c>
      <c r="C21" s="13" t="s">
        <v>630</v>
      </c>
      <c r="D21" s="13" t="s">
        <v>551</v>
      </c>
      <c r="E21" s="17" t="s">
        <v>631</v>
      </c>
      <c r="F21" s="13" t="s">
        <v>182</v>
      </c>
      <c r="G21" s="13" t="s">
        <v>440</v>
      </c>
      <c r="H21" s="13" t="s">
        <v>632</v>
      </c>
      <c r="I21" s="13" t="s">
        <v>547</v>
      </c>
      <c r="J21" s="13"/>
      <c r="K21" s="13" t="s">
        <v>414</v>
      </c>
      <c r="L21" s="13" t="s">
        <v>415</v>
      </c>
      <c r="M21" s="13" t="s">
        <v>416</v>
      </c>
      <c r="N21" s="13" t="s">
        <v>633</v>
      </c>
      <c r="O21" s="13" t="s">
        <v>634</v>
      </c>
      <c r="P21" s="13"/>
    </row>
    <row r="22" spans="1:16" ht="180">
      <c r="A22" s="19" t="s">
        <v>72</v>
      </c>
      <c r="B22" s="13" t="s">
        <v>597</v>
      </c>
      <c r="C22" s="13" t="s">
        <v>635</v>
      </c>
      <c r="D22" s="13" t="s">
        <v>636</v>
      </c>
      <c r="E22" s="17" t="s">
        <v>631</v>
      </c>
      <c r="F22" s="13" t="s">
        <v>637</v>
      </c>
      <c r="G22" s="13" t="s">
        <v>638</v>
      </c>
      <c r="H22" s="13" t="s">
        <v>74</v>
      </c>
      <c r="I22" s="13" t="s">
        <v>547</v>
      </c>
      <c r="J22" s="13" t="s">
        <v>639</v>
      </c>
      <c r="K22" s="13" t="s">
        <v>414</v>
      </c>
      <c r="L22" s="13" t="s">
        <v>415</v>
      </c>
      <c r="M22" s="13" t="s">
        <v>416</v>
      </c>
      <c r="N22" s="13" t="s">
        <v>640</v>
      </c>
      <c r="O22" s="13" t="s">
        <v>641</v>
      </c>
      <c r="P22" s="13"/>
    </row>
    <row r="23" spans="1:16" ht="60">
      <c r="A23" s="19" t="s">
        <v>270</v>
      </c>
      <c r="B23" s="13" t="s">
        <v>597</v>
      </c>
      <c r="C23" s="13" t="s">
        <v>642</v>
      </c>
      <c r="D23" s="13" t="s">
        <v>539</v>
      </c>
      <c r="E23" s="13" t="s">
        <v>540</v>
      </c>
      <c r="F23" s="13" t="s">
        <v>266</v>
      </c>
      <c r="G23" s="13" t="s">
        <v>440</v>
      </c>
      <c r="H23" s="13"/>
      <c r="I23" s="13" t="s">
        <v>543</v>
      </c>
      <c r="J23" s="13"/>
      <c r="K23" s="20" t="s">
        <v>430</v>
      </c>
      <c r="L23" s="13" t="s">
        <v>415</v>
      </c>
      <c r="M23" s="13" t="s">
        <v>421</v>
      </c>
      <c r="N23" s="13" t="s">
        <v>443</v>
      </c>
      <c r="O23" s="13" t="s">
        <v>643</v>
      </c>
      <c r="P23" s="13"/>
    </row>
    <row r="24" spans="1:16" ht="120">
      <c r="A24" s="19" t="s">
        <v>142</v>
      </c>
      <c r="B24" s="13" t="s">
        <v>597</v>
      </c>
      <c r="C24" s="13" t="s">
        <v>143</v>
      </c>
      <c r="D24" s="13" t="s">
        <v>587</v>
      </c>
      <c r="E24" s="13" t="s">
        <v>540</v>
      </c>
      <c r="F24" s="13" t="s">
        <v>140</v>
      </c>
      <c r="G24" s="13" t="s">
        <v>440</v>
      </c>
      <c r="H24" s="13" t="s">
        <v>144</v>
      </c>
      <c r="I24" s="13" t="s">
        <v>547</v>
      </c>
      <c r="J24" s="13" t="s">
        <v>644</v>
      </c>
      <c r="K24" s="13" t="s">
        <v>414</v>
      </c>
      <c r="L24" s="13" t="s">
        <v>415</v>
      </c>
      <c r="M24" s="13" t="s">
        <v>416</v>
      </c>
      <c r="N24" s="13" t="s">
        <v>454</v>
      </c>
      <c r="O24" s="13" t="s">
        <v>645</v>
      </c>
      <c r="P24" s="13"/>
    </row>
    <row r="25" spans="1:16" ht="75">
      <c r="A25" s="19" t="s">
        <v>111</v>
      </c>
      <c r="B25" s="13" t="s">
        <v>646</v>
      </c>
      <c r="C25" s="13" t="s">
        <v>647</v>
      </c>
      <c r="D25" s="13" t="s">
        <v>563</v>
      </c>
      <c r="E25" s="13" t="s">
        <v>540</v>
      </c>
      <c r="F25" s="13" t="s">
        <v>610</v>
      </c>
      <c r="G25" s="13" t="s">
        <v>648</v>
      </c>
      <c r="H25" s="13" t="s">
        <v>113</v>
      </c>
      <c r="I25" s="13" t="s">
        <v>543</v>
      </c>
      <c r="J25" s="13"/>
      <c r="K25" s="13" t="s">
        <v>414</v>
      </c>
      <c r="L25" s="13" t="s">
        <v>415</v>
      </c>
      <c r="M25" s="13" t="s">
        <v>425</v>
      </c>
      <c r="N25" s="13" t="s">
        <v>443</v>
      </c>
      <c r="O25" s="13" t="s">
        <v>649</v>
      </c>
      <c r="P25" s="13"/>
    </row>
    <row r="26" spans="1:16" ht="120">
      <c r="A26" s="19" t="s">
        <v>76</v>
      </c>
      <c r="B26" s="13" t="s">
        <v>646</v>
      </c>
      <c r="C26" s="13" t="s">
        <v>650</v>
      </c>
      <c r="D26" s="13" t="s">
        <v>563</v>
      </c>
      <c r="E26" s="17" t="s">
        <v>631</v>
      </c>
      <c r="F26" s="13" t="s">
        <v>651</v>
      </c>
      <c r="G26" s="13" t="s">
        <v>652</v>
      </c>
      <c r="H26" s="13" t="s">
        <v>653</v>
      </c>
      <c r="I26" s="13" t="s">
        <v>547</v>
      </c>
      <c r="J26" s="13"/>
      <c r="K26" s="13" t="s">
        <v>414</v>
      </c>
      <c r="L26" s="13" t="s">
        <v>415</v>
      </c>
      <c r="M26" s="13" t="s">
        <v>416</v>
      </c>
      <c r="N26" s="13" t="s">
        <v>654</v>
      </c>
      <c r="O26" s="13" t="s">
        <v>655</v>
      </c>
      <c r="P26" s="13"/>
    </row>
    <row r="27" spans="1:16" ht="75">
      <c r="A27" s="19" t="s">
        <v>85</v>
      </c>
      <c r="B27" s="13" t="s">
        <v>646</v>
      </c>
      <c r="C27" s="13" t="s">
        <v>656</v>
      </c>
      <c r="D27" s="13" t="s">
        <v>551</v>
      </c>
      <c r="E27" s="13" t="s">
        <v>540</v>
      </c>
      <c r="F27" s="13" t="s">
        <v>83</v>
      </c>
      <c r="G27" s="13" t="s">
        <v>657</v>
      </c>
      <c r="H27" s="13"/>
      <c r="I27" s="13" t="s">
        <v>543</v>
      </c>
      <c r="J27" s="13"/>
      <c r="K27" s="20" t="s">
        <v>430</v>
      </c>
      <c r="L27" s="13" t="s">
        <v>415</v>
      </c>
      <c r="M27" s="13" t="s">
        <v>416</v>
      </c>
      <c r="N27" s="13" t="s">
        <v>438</v>
      </c>
      <c r="O27" s="13" t="s">
        <v>658</v>
      </c>
      <c r="P27" s="13"/>
    </row>
    <row r="28" spans="1:16" ht="90">
      <c r="A28" s="19" t="s">
        <v>174</v>
      </c>
      <c r="B28" s="13" t="s">
        <v>646</v>
      </c>
      <c r="C28" s="13" t="s">
        <v>659</v>
      </c>
      <c r="D28" s="13" t="s">
        <v>563</v>
      </c>
      <c r="E28" s="13" t="s">
        <v>540</v>
      </c>
      <c r="F28" s="13" t="s">
        <v>660</v>
      </c>
      <c r="G28" s="13" t="s">
        <v>661</v>
      </c>
      <c r="H28" s="13"/>
      <c r="I28" s="13" t="s">
        <v>543</v>
      </c>
      <c r="J28" s="13"/>
      <c r="K28" s="20" t="s">
        <v>430</v>
      </c>
      <c r="L28" s="13" t="s">
        <v>415</v>
      </c>
      <c r="M28" s="13" t="s">
        <v>421</v>
      </c>
      <c r="N28" s="13" t="s">
        <v>469</v>
      </c>
      <c r="O28" s="13" t="s">
        <v>662</v>
      </c>
      <c r="P28" s="13"/>
    </row>
    <row r="29" spans="1:16" ht="105">
      <c r="A29" s="19" t="s">
        <v>38</v>
      </c>
      <c r="B29" s="13" t="s">
        <v>646</v>
      </c>
      <c r="C29" s="13" t="s">
        <v>663</v>
      </c>
      <c r="D29" s="13" t="s">
        <v>563</v>
      </c>
      <c r="E29" s="13" t="s">
        <v>540</v>
      </c>
      <c r="F29" s="13" t="s">
        <v>664</v>
      </c>
      <c r="G29" s="13" t="s">
        <v>665</v>
      </c>
      <c r="H29" s="13" t="s">
        <v>666</v>
      </c>
      <c r="I29" s="13" t="s">
        <v>543</v>
      </c>
      <c r="J29" s="13" t="s">
        <v>667</v>
      </c>
      <c r="K29" s="13" t="s">
        <v>414</v>
      </c>
      <c r="L29" s="13" t="s">
        <v>415</v>
      </c>
      <c r="M29" s="13" t="s">
        <v>416</v>
      </c>
      <c r="N29" s="13" t="s">
        <v>469</v>
      </c>
      <c r="O29" s="13" t="s">
        <v>668</v>
      </c>
      <c r="P29" s="13"/>
    </row>
    <row r="30" spans="1:16" ht="60">
      <c r="A30" s="19" t="s">
        <v>137</v>
      </c>
      <c r="B30" s="13" t="s">
        <v>669</v>
      </c>
      <c r="C30" s="13" t="s">
        <v>670</v>
      </c>
      <c r="D30" s="13" t="s">
        <v>539</v>
      </c>
      <c r="E30" s="13" t="s">
        <v>540</v>
      </c>
      <c r="F30" s="13" t="s">
        <v>131</v>
      </c>
      <c r="G30" s="13" t="s">
        <v>671</v>
      </c>
      <c r="H30" s="13"/>
      <c r="I30" s="13" t="s">
        <v>543</v>
      </c>
      <c r="J30" s="13"/>
      <c r="K30" s="20" t="s">
        <v>430</v>
      </c>
      <c r="L30" s="13" t="s">
        <v>415</v>
      </c>
      <c r="M30" s="13" t="s">
        <v>473</v>
      </c>
      <c r="N30" s="13"/>
      <c r="O30" s="13" t="s">
        <v>672</v>
      </c>
      <c r="P30" s="13"/>
    </row>
    <row r="31" spans="1:16" ht="90">
      <c r="A31" s="19" t="s">
        <v>115</v>
      </c>
      <c r="B31" s="13" t="s">
        <v>669</v>
      </c>
      <c r="C31" s="13" t="s">
        <v>673</v>
      </c>
      <c r="D31" s="13" t="s">
        <v>587</v>
      </c>
      <c r="E31" s="13" t="s">
        <v>540</v>
      </c>
      <c r="F31" s="13" t="s">
        <v>610</v>
      </c>
      <c r="G31" s="13" t="s">
        <v>674</v>
      </c>
      <c r="H31" s="13" t="s">
        <v>675</v>
      </c>
      <c r="I31" s="13" t="s">
        <v>547</v>
      </c>
      <c r="J31" s="13" t="s">
        <v>676</v>
      </c>
      <c r="K31" s="13" t="s">
        <v>414</v>
      </c>
      <c r="L31" s="13" t="s">
        <v>415</v>
      </c>
      <c r="M31" s="13" t="s">
        <v>473</v>
      </c>
      <c r="N31" s="13"/>
      <c r="O31" s="13" t="s">
        <v>677</v>
      </c>
      <c r="P31" s="13"/>
    </row>
    <row r="32" spans="1:16" ht="105">
      <c r="A32" s="19" t="s">
        <v>23</v>
      </c>
      <c r="B32" s="13" t="s">
        <v>669</v>
      </c>
      <c r="C32" s="13" t="s">
        <v>678</v>
      </c>
      <c r="D32" s="13" t="s">
        <v>539</v>
      </c>
      <c r="E32" s="13" t="s">
        <v>540</v>
      </c>
      <c r="F32" s="13" t="s">
        <v>679</v>
      </c>
      <c r="G32" s="13" t="s">
        <v>680</v>
      </c>
      <c r="H32" s="13" t="s">
        <v>681</v>
      </c>
      <c r="I32" s="13" t="s">
        <v>543</v>
      </c>
      <c r="J32" s="13"/>
      <c r="K32" s="13" t="s">
        <v>414</v>
      </c>
      <c r="L32" s="13" t="s">
        <v>415</v>
      </c>
      <c r="M32" s="13" t="s">
        <v>473</v>
      </c>
      <c r="N32" s="13" t="s">
        <v>548</v>
      </c>
      <c r="O32" s="13" t="s">
        <v>682</v>
      </c>
      <c r="P32" s="13"/>
    </row>
    <row r="33" spans="1:16" ht="60">
      <c r="A33" s="19" t="s">
        <v>163</v>
      </c>
      <c r="B33" s="13" t="s">
        <v>669</v>
      </c>
      <c r="C33" s="13" t="s">
        <v>683</v>
      </c>
      <c r="D33" s="13" t="s">
        <v>551</v>
      </c>
      <c r="E33" s="13" t="s">
        <v>540</v>
      </c>
      <c r="F33" s="13" t="s">
        <v>684</v>
      </c>
      <c r="G33" s="13" t="s">
        <v>685</v>
      </c>
      <c r="H33" s="13"/>
      <c r="I33" s="13" t="s">
        <v>543</v>
      </c>
      <c r="J33" s="13"/>
      <c r="K33" s="20" t="s">
        <v>430</v>
      </c>
      <c r="L33" s="13" t="s">
        <v>415</v>
      </c>
      <c r="M33" s="13" t="s">
        <v>473</v>
      </c>
      <c r="N33" s="13" t="s">
        <v>464</v>
      </c>
      <c r="O33" s="13" t="s">
        <v>686</v>
      </c>
      <c r="P33" s="13"/>
    </row>
    <row r="34" spans="1:16" ht="75">
      <c r="A34" s="19" t="s">
        <v>176</v>
      </c>
      <c r="B34" s="13" t="s">
        <v>669</v>
      </c>
      <c r="C34" s="13" t="s">
        <v>687</v>
      </c>
      <c r="D34" s="13" t="s">
        <v>539</v>
      </c>
      <c r="E34" s="13" t="s">
        <v>540</v>
      </c>
      <c r="F34" s="13" t="s">
        <v>688</v>
      </c>
      <c r="G34" s="13" t="s">
        <v>689</v>
      </c>
      <c r="H34" s="13" t="s">
        <v>690</v>
      </c>
      <c r="I34" s="13" t="s">
        <v>543</v>
      </c>
      <c r="J34" s="13"/>
      <c r="K34" s="13" t="s">
        <v>414</v>
      </c>
      <c r="L34" s="13" t="s">
        <v>415</v>
      </c>
      <c r="M34" s="13" t="s">
        <v>473</v>
      </c>
      <c r="N34" s="13"/>
      <c r="O34" s="13" t="s">
        <v>691</v>
      </c>
      <c r="P34" s="13"/>
    </row>
    <row r="35" spans="1:16" ht="60">
      <c r="A35" s="19" t="s">
        <v>44</v>
      </c>
      <c r="B35" s="13" t="s">
        <v>692</v>
      </c>
      <c r="C35" s="13" t="s">
        <v>693</v>
      </c>
      <c r="D35" s="13" t="s">
        <v>539</v>
      </c>
      <c r="E35" s="13" t="s">
        <v>540</v>
      </c>
      <c r="F35" s="13" t="s">
        <v>694</v>
      </c>
      <c r="G35" s="13" t="s">
        <v>695</v>
      </c>
      <c r="H35" s="13"/>
      <c r="I35" s="13" t="s">
        <v>584</v>
      </c>
      <c r="J35" s="13"/>
      <c r="K35" s="20" t="s">
        <v>430</v>
      </c>
      <c r="L35" s="13" t="s">
        <v>415</v>
      </c>
      <c r="M35" s="13" t="s">
        <v>421</v>
      </c>
      <c r="N35" s="13"/>
      <c r="O35" s="13" t="s">
        <v>696</v>
      </c>
      <c r="P35" s="13"/>
    </row>
    <row r="36" spans="1:16" ht="90">
      <c r="A36" s="19" t="s">
        <v>129</v>
      </c>
      <c r="B36" s="13" t="s">
        <v>692</v>
      </c>
      <c r="C36" s="13" t="s">
        <v>697</v>
      </c>
      <c r="D36" s="13" t="s">
        <v>587</v>
      </c>
      <c r="E36" s="13" t="s">
        <v>540</v>
      </c>
      <c r="F36" s="13" t="s">
        <v>698</v>
      </c>
      <c r="G36" s="13" t="s">
        <v>699</v>
      </c>
      <c r="H36" s="13"/>
      <c r="I36" s="13" t="s">
        <v>547</v>
      </c>
      <c r="J36" s="13" t="s">
        <v>700</v>
      </c>
      <c r="K36" s="20" t="s">
        <v>430</v>
      </c>
      <c r="L36" s="13" t="s">
        <v>415</v>
      </c>
      <c r="M36" s="13" t="s">
        <v>425</v>
      </c>
      <c r="N36" s="13" t="s">
        <v>426</v>
      </c>
      <c r="O36" s="13" t="s">
        <v>701</v>
      </c>
      <c r="P36" s="13"/>
    </row>
    <row r="37" spans="1:16" ht="75">
      <c r="A37" s="19" t="s">
        <v>233</v>
      </c>
      <c r="B37" s="13" t="s">
        <v>692</v>
      </c>
      <c r="C37" s="13" t="s">
        <v>702</v>
      </c>
      <c r="D37" s="13" t="s">
        <v>539</v>
      </c>
      <c r="E37" s="13" t="s">
        <v>540</v>
      </c>
      <c r="F37" s="13" t="s">
        <v>703</v>
      </c>
      <c r="G37" s="13" t="s">
        <v>704</v>
      </c>
      <c r="H37" s="13"/>
      <c r="I37" s="13" t="s">
        <v>584</v>
      </c>
      <c r="J37" s="13"/>
      <c r="K37" s="20" t="s">
        <v>430</v>
      </c>
      <c r="L37" s="13" t="s">
        <v>415</v>
      </c>
      <c r="M37" s="13" t="s">
        <v>421</v>
      </c>
      <c r="N37" s="13"/>
      <c r="O37" s="13" t="s">
        <v>705</v>
      </c>
      <c r="P37" s="13"/>
    </row>
    <row r="38" spans="1:16" ht="45">
      <c r="A38" s="19" t="s">
        <v>47</v>
      </c>
      <c r="B38" s="13" t="s">
        <v>692</v>
      </c>
      <c r="C38" s="13" t="s">
        <v>48</v>
      </c>
      <c r="D38" s="13" t="s">
        <v>587</v>
      </c>
      <c r="E38" s="13" t="s">
        <v>540</v>
      </c>
      <c r="F38" s="13" t="s">
        <v>36</v>
      </c>
      <c r="G38" s="13" t="s">
        <v>706</v>
      </c>
      <c r="H38" s="13" t="s">
        <v>707</v>
      </c>
      <c r="I38" s="13" t="s">
        <v>584</v>
      </c>
      <c r="J38" s="13" t="s">
        <v>708</v>
      </c>
      <c r="K38" s="13" t="s">
        <v>414</v>
      </c>
      <c r="L38" s="13" t="s">
        <v>415</v>
      </c>
      <c r="M38" s="13" t="s">
        <v>416</v>
      </c>
      <c r="N38" s="13" t="s">
        <v>709</v>
      </c>
      <c r="O38" s="13" t="s">
        <v>710</v>
      </c>
      <c r="P38" s="13"/>
    </row>
    <row r="39" spans="1:16" ht="60">
      <c r="A39" s="19" t="s">
        <v>238</v>
      </c>
      <c r="B39" s="13" t="s">
        <v>692</v>
      </c>
      <c r="C39" s="13" t="s">
        <v>711</v>
      </c>
      <c r="D39" s="13" t="s">
        <v>551</v>
      </c>
      <c r="E39" s="13" t="s">
        <v>540</v>
      </c>
      <c r="F39" s="13" t="s">
        <v>236</v>
      </c>
      <c r="G39" s="13" t="s">
        <v>712</v>
      </c>
      <c r="H39" s="13"/>
      <c r="I39" s="13" t="s">
        <v>543</v>
      </c>
      <c r="J39" s="13"/>
      <c r="K39" s="20" t="s">
        <v>430</v>
      </c>
      <c r="L39" s="13" t="s">
        <v>415</v>
      </c>
      <c r="M39" s="13" t="s">
        <v>416</v>
      </c>
      <c r="N39" s="13" t="s">
        <v>469</v>
      </c>
      <c r="O39" s="13" t="s">
        <v>713</v>
      </c>
      <c r="P39" s="13"/>
    </row>
    <row r="40" spans="1:16" ht="45">
      <c r="A40" s="19" t="s">
        <v>219</v>
      </c>
      <c r="B40" s="13" t="s">
        <v>714</v>
      </c>
      <c r="C40" s="13" t="s">
        <v>715</v>
      </c>
      <c r="D40" s="13" t="s">
        <v>539</v>
      </c>
      <c r="E40" s="13" t="s">
        <v>540</v>
      </c>
      <c r="F40" s="13" t="s">
        <v>716</v>
      </c>
      <c r="G40" s="13" t="s">
        <v>717</v>
      </c>
      <c r="H40" s="13" t="s">
        <v>221</v>
      </c>
      <c r="I40" s="13" t="s">
        <v>543</v>
      </c>
      <c r="J40" s="13"/>
      <c r="K40" s="13" t="s">
        <v>414</v>
      </c>
      <c r="L40" s="13" t="s">
        <v>415</v>
      </c>
      <c r="M40" s="13" t="s">
        <v>425</v>
      </c>
      <c r="N40" s="13" t="s">
        <v>426</v>
      </c>
      <c r="O40" s="13" t="s">
        <v>718</v>
      </c>
      <c r="P40" s="13"/>
    </row>
    <row r="41" spans="1:16" ht="45">
      <c r="A41" s="19" t="s">
        <v>32</v>
      </c>
      <c r="B41" s="13" t="s">
        <v>714</v>
      </c>
      <c r="C41" s="13" t="s">
        <v>719</v>
      </c>
      <c r="D41" s="13" t="s">
        <v>587</v>
      </c>
      <c r="E41" s="13" t="s">
        <v>540</v>
      </c>
      <c r="F41" s="13" t="s">
        <v>720</v>
      </c>
      <c r="G41" s="13" t="s">
        <v>721</v>
      </c>
      <c r="H41" s="13" t="s">
        <v>34</v>
      </c>
      <c r="I41" s="13" t="s">
        <v>547</v>
      </c>
      <c r="J41" s="13" t="s">
        <v>722</v>
      </c>
      <c r="K41" s="13" t="s">
        <v>414</v>
      </c>
      <c r="L41" s="13" t="s">
        <v>415</v>
      </c>
      <c r="M41" s="13" t="s">
        <v>425</v>
      </c>
      <c r="N41" s="13" t="s">
        <v>500</v>
      </c>
      <c r="O41" s="13" t="s">
        <v>723</v>
      </c>
      <c r="P41" s="13"/>
    </row>
    <row r="42" spans="1:16" ht="60">
      <c r="A42" s="19" t="s">
        <v>53</v>
      </c>
      <c r="B42" s="13" t="s">
        <v>714</v>
      </c>
      <c r="C42" s="13" t="s">
        <v>724</v>
      </c>
      <c r="D42" s="13" t="s">
        <v>539</v>
      </c>
      <c r="E42" s="13" t="s">
        <v>540</v>
      </c>
      <c r="F42" s="13" t="s">
        <v>725</v>
      </c>
      <c r="G42" s="13" t="s">
        <v>726</v>
      </c>
      <c r="H42" s="13"/>
      <c r="I42" s="13" t="s">
        <v>547</v>
      </c>
      <c r="J42" s="13" t="s">
        <v>727</v>
      </c>
      <c r="K42" s="20" t="s">
        <v>430</v>
      </c>
      <c r="L42" s="13" t="s">
        <v>415</v>
      </c>
      <c r="M42" s="13" t="s">
        <v>421</v>
      </c>
      <c r="N42" s="13"/>
      <c r="O42" s="13" t="s">
        <v>728</v>
      </c>
      <c r="P42" s="13"/>
    </row>
    <row r="43" spans="1:16" ht="75">
      <c r="A43" s="19" t="s">
        <v>150</v>
      </c>
      <c r="B43" s="13" t="s">
        <v>714</v>
      </c>
      <c r="C43" s="13" t="s">
        <v>729</v>
      </c>
      <c r="D43" s="13" t="s">
        <v>539</v>
      </c>
      <c r="E43" s="13" t="s">
        <v>540</v>
      </c>
      <c r="F43" s="13" t="s">
        <v>146</v>
      </c>
      <c r="G43" s="13" t="s">
        <v>588</v>
      </c>
      <c r="H43" s="13"/>
      <c r="I43" s="13" t="s">
        <v>547</v>
      </c>
      <c r="J43" s="13" t="s">
        <v>730</v>
      </c>
      <c r="K43" s="20" t="s">
        <v>430</v>
      </c>
      <c r="L43" s="13" t="s">
        <v>415</v>
      </c>
      <c r="M43" s="13" t="s">
        <v>421</v>
      </c>
      <c r="N43" s="13"/>
      <c r="O43" s="13" t="s">
        <v>731</v>
      </c>
      <c r="P43" s="13"/>
    </row>
  </sheetData>
  <autoFilter ref="A1:P43"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30"/>
  <sheetViews>
    <sheetView workbookViewId="0">
      <pane ySplit="1" topLeftCell="A2" activePane="bottomLeft" state="frozen"/>
      <selection pane="bottomLeft"/>
    </sheetView>
  </sheetViews>
  <sheetFormatPr defaultRowHeight="15"/>
  <cols>
    <col min="1" max="1" width="12" customWidth="1"/>
    <col min="2" max="2" width="18" customWidth="1"/>
    <col min="3" max="3" width="55" customWidth="1"/>
    <col min="4" max="4" width="40" customWidth="1"/>
    <col min="5" max="5" width="12" customWidth="1"/>
    <col min="6" max="6" width="10" customWidth="1"/>
    <col min="7" max="7" width="22" customWidth="1"/>
    <col min="8" max="8" width="26" customWidth="1"/>
    <col min="9" max="9" width="34" customWidth="1"/>
    <col min="10" max="10" width="14" customWidth="1"/>
    <col min="11" max="11" width="30" customWidth="1"/>
    <col min="12" max="12" width="11" customWidth="1"/>
    <col min="13" max="13" width="10" customWidth="1"/>
    <col min="14" max="14" width="8" customWidth="1"/>
    <col min="15" max="15" width="28" customWidth="1"/>
    <col min="16" max="16" width="70" customWidth="1"/>
    <col min="17" max="17" width="40" customWidth="1"/>
  </cols>
  <sheetData>
    <row r="1" spans="1:17" ht="30">
      <c r="A1" s="3" t="s">
        <v>403</v>
      </c>
      <c r="B1" s="3" t="s">
        <v>732</v>
      </c>
      <c r="C1" s="3" t="s">
        <v>405</v>
      </c>
      <c r="D1" s="3" t="s">
        <v>733</v>
      </c>
      <c r="E1" s="3" t="s">
        <v>531</v>
      </c>
      <c r="F1" s="3" t="s">
        <v>532</v>
      </c>
      <c r="G1" s="3" t="s">
        <v>734</v>
      </c>
      <c r="H1" s="3" t="s">
        <v>735</v>
      </c>
      <c r="I1" s="3" t="s">
        <v>736</v>
      </c>
      <c r="J1" s="3" t="s">
        <v>272</v>
      </c>
      <c r="K1" s="3" t="s">
        <v>536</v>
      </c>
      <c r="L1" s="3" t="s">
        <v>408</v>
      </c>
      <c r="M1" s="3" t="s">
        <v>409</v>
      </c>
      <c r="N1" s="3" t="s">
        <v>410</v>
      </c>
      <c r="O1" s="3" t="s">
        <v>411</v>
      </c>
      <c r="P1" s="3" t="s">
        <v>412</v>
      </c>
      <c r="Q1" s="4" t="s">
        <v>6</v>
      </c>
    </row>
    <row r="2" spans="1:17" ht="45">
      <c r="A2" s="19" t="s">
        <v>117</v>
      </c>
      <c r="B2" s="13" t="s">
        <v>460</v>
      </c>
      <c r="C2" s="13" t="s">
        <v>737</v>
      </c>
      <c r="D2" s="13" t="s">
        <v>738</v>
      </c>
      <c r="E2" s="13" t="s">
        <v>539</v>
      </c>
      <c r="F2" s="13" t="s">
        <v>540</v>
      </c>
      <c r="G2" s="13" t="s">
        <v>739</v>
      </c>
      <c r="H2" s="13" t="s">
        <v>623</v>
      </c>
      <c r="I2" s="13"/>
      <c r="J2" s="13" t="s">
        <v>584</v>
      </c>
      <c r="K2" s="13"/>
      <c r="L2" s="13" t="s">
        <v>414</v>
      </c>
      <c r="M2" s="13" t="s">
        <v>415</v>
      </c>
      <c r="N2" s="13" t="s">
        <v>473</v>
      </c>
      <c r="O2" s="13" t="s">
        <v>464</v>
      </c>
      <c r="P2" s="13" t="s">
        <v>740</v>
      </c>
      <c r="Q2" s="13"/>
    </row>
    <row r="3" spans="1:17" ht="45">
      <c r="A3" s="19" t="s">
        <v>186</v>
      </c>
      <c r="B3" s="13" t="s">
        <v>460</v>
      </c>
      <c r="C3" s="13" t="s">
        <v>187</v>
      </c>
      <c r="D3" s="13" t="s">
        <v>741</v>
      </c>
      <c r="E3" s="13" t="s">
        <v>539</v>
      </c>
      <c r="F3" s="13" t="s">
        <v>540</v>
      </c>
      <c r="G3" s="13" t="s">
        <v>184</v>
      </c>
      <c r="H3" s="13" t="s">
        <v>623</v>
      </c>
      <c r="I3" s="13"/>
      <c r="J3" s="13" t="s">
        <v>584</v>
      </c>
      <c r="K3" s="13"/>
      <c r="L3" s="13" t="s">
        <v>414</v>
      </c>
      <c r="M3" s="13" t="s">
        <v>415</v>
      </c>
      <c r="N3" s="13" t="s">
        <v>416</v>
      </c>
      <c r="O3" s="13" t="s">
        <v>451</v>
      </c>
      <c r="P3" s="13" t="s">
        <v>742</v>
      </c>
      <c r="Q3" s="13"/>
    </row>
    <row r="4" spans="1:17" ht="60">
      <c r="A4" s="19" t="s">
        <v>19</v>
      </c>
      <c r="B4" s="13" t="s">
        <v>460</v>
      </c>
      <c r="C4" s="13" t="s">
        <v>743</v>
      </c>
      <c r="D4" s="13" t="s">
        <v>744</v>
      </c>
      <c r="E4" s="13" t="s">
        <v>539</v>
      </c>
      <c r="F4" s="13" t="s">
        <v>540</v>
      </c>
      <c r="G4" s="13" t="s">
        <v>745</v>
      </c>
      <c r="H4" s="13" t="s">
        <v>623</v>
      </c>
      <c r="I4" s="13"/>
      <c r="J4" s="13" t="s">
        <v>584</v>
      </c>
      <c r="K4" s="13"/>
      <c r="L4" s="13" t="s">
        <v>414</v>
      </c>
      <c r="M4" s="13" t="s">
        <v>415</v>
      </c>
      <c r="N4" s="13" t="s">
        <v>416</v>
      </c>
      <c r="O4" s="13" t="s">
        <v>477</v>
      </c>
      <c r="P4" s="13" t="s">
        <v>746</v>
      </c>
      <c r="Q4" s="13"/>
    </row>
    <row r="5" spans="1:17" ht="105">
      <c r="A5" s="19" t="s">
        <v>40</v>
      </c>
      <c r="B5" s="13" t="s">
        <v>460</v>
      </c>
      <c r="C5" s="13" t="s">
        <v>747</v>
      </c>
      <c r="D5" s="13" t="s">
        <v>748</v>
      </c>
      <c r="E5" s="13" t="s">
        <v>563</v>
      </c>
      <c r="F5" s="13" t="s">
        <v>540</v>
      </c>
      <c r="G5" s="13" t="s">
        <v>749</v>
      </c>
      <c r="H5" s="13" t="s">
        <v>623</v>
      </c>
      <c r="I5" s="13"/>
      <c r="J5" s="13" t="s">
        <v>543</v>
      </c>
      <c r="K5" s="13"/>
      <c r="L5" s="13" t="s">
        <v>414</v>
      </c>
      <c r="M5" s="13" t="s">
        <v>415</v>
      </c>
      <c r="N5" s="13" t="s">
        <v>416</v>
      </c>
      <c r="O5" s="13" t="s">
        <v>469</v>
      </c>
      <c r="P5" s="13" t="s">
        <v>750</v>
      </c>
      <c r="Q5" s="13"/>
    </row>
    <row r="6" spans="1:17" ht="120">
      <c r="A6" s="19" t="s">
        <v>26</v>
      </c>
      <c r="B6" s="13" t="s">
        <v>460</v>
      </c>
      <c r="C6" s="13" t="s">
        <v>751</v>
      </c>
      <c r="D6" s="13" t="s">
        <v>752</v>
      </c>
      <c r="E6" s="13" t="s">
        <v>539</v>
      </c>
      <c r="F6" s="13" t="s">
        <v>540</v>
      </c>
      <c r="G6" s="13" t="s">
        <v>753</v>
      </c>
      <c r="H6" s="13" t="s">
        <v>623</v>
      </c>
      <c r="I6" s="13"/>
      <c r="J6" s="13" t="s">
        <v>543</v>
      </c>
      <c r="K6" s="13"/>
      <c r="L6" s="13" t="s">
        <v>414</v>
      </c>
      <c r="M6" s="13" t="s">
        <v>415</v>
      </c>
      <c r="N6" s="13" t="s">
        <v>473</v>
      </c>
      <c r="O6" s="13"/>
      <c r="P6" s="13" t="s">
        <v>754</v>
      </c>
      <c r="Q6" s="13"/>
    </row>
    <row r="7" spans="1:17" ht="90">
      <c r="A7" s="19" t="s">
        <v>12</v>
      </c>
      <c r="B7" s="13" t="s">
        <v>755</v>
      </c>
      <c r="C7" s="13" t="s">
        <v>756</v>
      </c>
      <c r="D7" s="13" t="s">
        <v>757</v>
      </c>
      <c r="E7" s="13" t="s">
        <v>539</v>
      </c>
      <c r="F7" s="13" t="s">
        <v>540</v>
      </c>
      <c r="G7" s="13" t="s">
        <v>758</v>
      </c>
      <c r="H7" s="13" t="s">
        <v>759</v>
      </c>
      <c r="I7" s="13" t="s">
        <v>760</v>
      </c>
      <c r="J7" s="13" t="s">
        <v>547</v>
      </c>
      <c r="K7" s="13"/>
      <c r="L7" s="13" t="s">
        <v>414</v>
      </c>
      <c r="M7" s="13" t="s">
        <v>415</v>
      </c>
      <c r="N7" s="13" t="s">
        <v>416</v>
      </c>
      <c r="O7" s="13" t="s">
        <v>761</v>
      </c>
      <c r="P7" s="13" t="s">
        <v>762</v>
      </c>
      <c r="Q7" s="13"/>
    </row>
    <row r="8" spans="1:17" ht="30">
      <c r="A8" s="19" t="s">
        <v>92</v>
      </c>
      <c r="B8" s="13" t="s">
        <v>755</v>
      </c>
      <c r="C8" s="13" t="s">
        <v>93</v>
      </c>
      <c r="D8" s="13" t="s">
        <v>763</v>
      </c>
      <c r="E8" s="13" t="s">
        <v>563</v>
      </c>
      <c r="F8" s="13" t="s">
        <v>540</v>
      </c>
      <c r="G8" s="13" t="s">
        <v>90</v>
      </c>
      <c r="H8" s="13" t="s">
        <v>542</v>
      </c>
      <c r="I8" s="13"/>
      <c r="J8" s="13" t="s">
        <v>543</v>
      </c>
      <c r="K8" s="13"/>
      <c r="L8" s="13" t="s">
        <v>414</v>
      </c>
      <c r="M8" s="13" t="s">
        <v>415</v>
      </c>
      <c r="N8" s="13" t="s">
        <v>425</v>
      </c>
      <c r="O8" s="13" t="s">
        <v>566</v>
      </c>
      <c r="P8" s="13" t="s">
        <v>764</v>
      </c>
      <c r="Q8" s="13"/>
    </row>
    <row r="9" spans="1:17" ht="45">
      <c r="A9" s="19" t="s">
        <v>171</v>
      </c>
      <c r="B9" s="13" t="s">
        <v>755</v>
      </c>
      <c r="C9" s="13" t="s">
        <v>172</v>
      </c>
      <c r="D9" s="13" t="s">
        <v>765</v>
      </c>
      <c r="E9" s="13" t="s">
        <v>563</v>
      </c>
      <c r="F9" s="13" t="s">
        <v>540</v>
      </c>
      <c r="G9" s="13" t="s">
        <v>168</v>
      </c>
      <c r="H9" s="13" t="s">
        <v>570</v>
      </c>
      <c r="I9" s="13"/>
      <c r="J9" s="13" t="s">
        <v>543</v>
      </c>
      <c r="K9" s="13"/>
      <c r="L9" s="13" t="s">
        <v>414</v>
      </c>
      <c r="M9" s="13" t="s">
        <v>415</v>
      </c>
      <c r="N9" s="13" t="s">
        <v>416</v>
      </c>
      <c r="O9" s="13" t="s">
        <v>469</v>
      </c>
      <c r="P9" s="13" t="s">
        <v>766</v>
      </c>
      <c r="Q9" s="13"/>
    </row>
    <row r="10" spans="1:17" ht="75">
      <c r="A10" s="19" t="s">
        <v>158</v>
      </c>
      <c r="B10" s="13" t="s">
        <v>755</v>
      </c>
      <c r="C10" s="13" t="s">
        <v>159</v>
      </c>
      <c r="D10" s="13" t="s">
        <v>767</v>
      </c>
      <c r="E10" s="13" t="s">
        <v>539</v>
      </c>
      <c r="F10" s="13" t="s">
        <v>540</v>
      </c>
      <c r="G10" s="13" t="s">
        <v>155</v>
      </c>
      <c r="H10" s="13" t="s">
        <v>542</v>
      </c>
      <c r="I10" s="13"/>
      <c r="J10" s="13" t="s">
        <v>543</v>
      </c>
      <c r="K10" s="13"/>
      <c r="L10" s="13" t="s">
        <v>414</v>
      </c>
      <c r="M10" s="13" t="s">
        <v>415</v>
      </c>
      <c r="N10" s="13" t="s">
        <v>425</v>
      </c>
      <c r="O10" s="13" t="s">
        <v>560</v>
      </c>
      <c r="P10" s="13" t="s">
        <v>768</v>
      </c>
      <c r="Q10" s="13"/>
    </row>
    <row r="11" spans="1:17" ht="180">
      <c r="A11" s="19" t="s">
        <v>78</v>
      </c>
      <c r="B11" s="13" t="s">
        <v>755</v>
      </c>
      <c r="C11" s="13" t="s">
        <v>769</v>
      </c>
      <c r="D11" s="13" t="s">
        <v>770</v>
      </c>
      <c r="E11" s="13" t="s">
        <v>563</v>
      </c>
      <c r="F11" s="17" t="s">
        <v>631</v>
      </c>
      <c r="G11" s="13" t="s">
        <v>76</v>
      </c>
      <c r="H11" s="13" t="s">
        <v>726</v>
      </c>
      <c r="I11" s="13"/>
      <c r="J11" s="13" t="s">
        <v>547</v>
      </c>
      <c r="K11" s="13"/>
      <c r="L11" s="13" t="s">
        <v>414</v>
      </c>
      <c r="M11" s="13" t="s">
        <v>415</v>
      </c>
      <c r="N11" s="13" t="s">
        <v>416</v>
      </c>
      <c r="O11" s="13" t="s">
        <v>654</v>
      </c>
      <c r="P11" s="13" t="s">
        <v>771</v>
      </c>
      <c r="Q11" s="13"/>
    </row>
    <row r="12" spans="1:17" ht="75">
      <c r="A12" s="19" t="s">
        <v>42</v>
      </c>
      <c r="B12" s="13" t="s">
        <v>755</v>
      </c>
      <c r="C12" s="13" t="s">
        <v>772</v>
      </c>
      <c r="D12" s="13" t="s">
        <v>773</v>
      </c>
      <c r="E12" s="13" t="s">
        <v>539</v>
      </c>
      <c r="F12" s="13" t="s">
        <v>540</v>
      </c>
      <c r="G12" s="13" t="s">
        <v>774</v>
      </c>
      <c r="H12" s="13" t="s">
        <v>542</v>
      </c>
      <c r="I12" s="13"/>
      <c r="J12" s="13" t="s">
        <v>584</v>
      </c>
      <c r="K12" s="13"/>
      <c r="L12" s="13" t="s">
        <v>414</v>
      </c>
      <c r="M12" s="13" t="s">
        <v>415</v>
      </c>
      <c r="N12" s="13" t="s">
        <v>416</v>
      </c>
      <c r="O12" s="13" t="s">
        <v>469</v>
      </c>
      <c r="P12" s="13" t="s">
        <v>775</v>
      </c>
      <c r="Q12" s="13"/>
    </row>
    <row r="13" spans="1:17" ht="45">
      <c r="A13" s="19" t="s">
        <v>34</v>
      </c>
      <c r="B13" s="13" t="s">
        <v>755</v>
      </c>
      <c r="C13" s="13" t="s">
        <v>35</v>
      </c>
      <c r="D13" s="13" t="s">
        <v>776</v>
      </c>
      <c r="E13" s="13" t="s">
        <v>587</v>
      </c>
      <c r="F13" s="13" t="s">
        <v>540</v>
      </c>
      <c r="G13" s="13" t="s">
        <v>32</v>
      </c>
      <c r="H13" s="13" t="s">
        <v>726</v>
      </c>
      <c r="I13" s="13"/>
      <c r="J13" s="13" t="s">
        <v>547</v>
      </c>
      <c r="K13" s="13" t="s">
        <v>722</v>
      </c>
      <c r="L13" s="13" t="s">
        <v>414</v>
      </c>
      <c r="M13" s="13" t="s">
        <v>415</v>
      </c>
      <c r="N13" s="13" t="s">
        <v>425</v>
      </c>
      <c r="O13" s="13" t="s">
        <v>500</v>
      </c>
      <c r="P13" s="13" t="s">
        <v>777</v>
      </c>
      <c r="Q13" s="13"/>
    </row>
    <row r="14" spans="1:17" ht="60">
      <c r="A14" s="19" t="s">
        <v>96</v>
      </c>
      <c r="B14" s="13" t="s">
        <v>440</v>
      </c>
      <c r="C14" s="13" t="s">
        <v>778</v>
      </c>
      <c r="D14" s="13" t="s">
        <v>779</v>
      </c>
      <c r="E14" s="13" t="s">
        <v>587</v>
      </c>
      <c r="F14" s="13" t="s">
        <v>540</v>
      </c>
      <c r="G14" s="13" t="s">
        <v>780</v>
      </c>
      <c r="H14" s="13" t="s">
        <v>648</v>
      </c>
      <c r="I14" s="13"/>
      <c r="J14" s="13" t="s">
        <v>547</v>
      </c>
      <c r="K14" s="13" t="s">
        <v>602</v>
      </c>
      <c r="L14" s="13" t="s">
        <v>414</v>
      </c>
      <c r="M14" s="13" t="s">
        <v>415</v>
      </c>
      <c r="N14" s="13" t="s">
        <v>425</v>
      </c>
      <c r="O14" s="13" t="s">
        <v>443</v>
      </c>
      <c r="P14" s="13" t="s">
        <v>781</v>
      </c>
      <c r="Q14" s="13"/>
    </row>
    <row r="15" spans="1:17" ht="30">
      <c r="A15" s="19" t="s">
        <v>104</v>
      </c>
      <c r="B15" s="13" t="s">
        <v>440</v>
      </c>
      <c r="C15" s="13" t="s">
        <v>105</v>
      </c>
      <c r="D15" s="13" t="s">
        <v>782</v>
      </c>
      <c r="E15" s="13" t="s">
        <v>539</v>
      </c>
      <c r="F15" s="13" t="s">
        <v>540</v>
      </c>
      <c r="G15" s="13" t="s">
        <v>102</v>
      </c>
      <c r="H15" s="13" t="s">
        <v>606</v>
      </c>
      <c r="I15" s="13"/>
      <c r="J15" s="13" t="s">
        <v>547</v>
      </c>
      <c r="K15" s="13"/>
      <c r="L15" s="13" t="s">
        <v>414</v>
      </c>
      <c r="M15" s="13" t="s">
        <v>415</v>
      </c>
      <c r="N15" s="13" t="s">
        <v>416</v>
      </c>
      <c r="O15" s="13" t="s">
        <v>477</v>
      </c>
      <c r="P15" s="13" t="s">
        <v>783</v>
      </c>
      <c r="Q15" s="13"/>
    </row>
    <row r="16" spans="1:17" ht="45">
      <c r="A16" s="19" t="s">
        <v>113</v>
      </c>
      <c r="B16" s="13" t="s">
        <v>440</v>
      </c>
      <c r="C16" s="13" t="s">
        <v>114</v>
      </c>
      <c r="D16" s="13" t="s">
        <v>784</v>
      </c>
      <c r="E16" s="13" t="s">
        <v>563</v>
      </c>
      <c r="F16" s="13" t="s">
        <v>540</v>
      </c>
      <c r="G16" s="13" t="s">
        <v>111</v>
      </c>
      <c r="H16" s="13" t="s">
        <v>785</v>
      </c>
      <c r="I16" s="13"/>
      <c r="J16" s="13" t="s">
        <v>543</v>
      </c>
      <c r="K16" s="13"/>
      <c r="L16" s="13" t="s">
        <v>414</v>
      </c>
      <c r="M16" s="13" t="s">
        <v>415</v>
      </c>
      <c r="N16" s="13" t="s">
        <v>425</v>
      </c>
      <c r="O16" s="13" t="s">
        <v>443</v>
      </c>
      <c r="P16" s="13" t="s">
        <v>786</v>
      </c>
      <c r="Q16" s="13"/>
    </row>
    <row r="17" spans="1:17" ht="135">
      <c r="A17" s="19" t="s">
        <v>98</v>
      </c>
      <c r="B17" s="13" t="s">
        <v>440</v>
      </c>
      <c r="C17" s="13" t="s">
        <v>787</v>
      </c>
      <c r="D17" s="13" t="s">
        <v>788</v>
      </c>
      <c r="E17" s="13" t="s">
        <v>551</v>
      </c>
      <c r="F17" s="17" t="s">
        <v>631</v>
      </c>
      <c r="G17" s="13" t="s">
        <v>789</v>
      </c>
      <c r="H17" s="13" t="s">
        <v>790</v>
      </c>
      <c r="I17" s="13" t="s">
        <v>791</v>
      </c>
      <c r="J17" s="13" t="s">
        <v>547</v>
      </c>
      <c r="K17" s="13" t="s">
        <v>792</v>
      </c>
      <c r="L17" s="13" t="s">
        <v>414</v>
      </c>
      <c r="M17" s="13" t="s">
        <v>415</v>
      </c>
      <c r="N17" s="13" t="s">
        <v>416</v>
      </c>
      <c r="O17" s="13" t="s">
        <v>633</v>
      </c>
      <c r="P17" s="13" t="s">
        <v>793</v>
      </c>
      <c r="Q17" s="13"/>
    </row>
    <row r="18" spans="1:17" ht="165">
      <c r="A18" s="19" t="s">
        <v>74</v>
      </c>
      <c r="B18" s="13" t="s">
        <v>440</v>
      </c>
      <c r="C18" s="13" t="s">
        <v>794</v>
      </c>
      <c r="D18" s="13" t="s">
        <v>795</v>
      </c>
      <c r="E18" s="13" t="s">
        <v>636</v>
      </c>
      <c r="F18" s="17" t="s">
        <v>631</v>
      </c>
      <c r="G18" s="13" t="s">
        <v>72</v>
      </c>
      <c r="H18" s="13" t="s">
        <v>638</v>
      </c>
      <c r="I18" s="13" t="s">
        <v>791</v>
      </c>
      <c r="J18" s="13" t="s">
        <v>547</v>
      </c>
      <c r="K18" s="13" t="s">
        <v>796</v>
      </c>
      <c r="L18" s="13" t="s">
        <v>414</v>
      </c>
      <c r="M18" s="13" t="s">
        <v>415</v>
      </c>
      <c r="N18" s="13" t="s">
        <v>416</v>
      </c>
      <c r="O18" s="13" t="s">
        <v>640</v>
      </c>
      <c r="P18" s="13" t="s">
        <v>797</v>
      </c>
      <c r="Q18" s="13"/>
    </row>
    <row r="19" spans="1:17" ht="60">
      <c r="A19" s="19" t="s">
        <v>144</v>
      </c>
      <c r="B19" s="13" t="s">
        <v>440</v>
      </c>
      <c r="C19" s="13" t="s">
        <v>145</v>
      </c>
      <c r="D19" s="13" t="s">
        <v>798</v>
      </c>
      <c r="E19" s="13" t="s">
        <v>587</v>
      </c>
      <c r="F19" s="13" t="s">
        <v>540</v>
      </c>
      <c r="G19" s="13" t="s">
        <v>142</v>
      </c>
      <c r="H19" s="13" t="s">
        <v>440</v>
      </c>
      <c r="I19" s="13" t="s">
        <v>791</v>
      </c>
      <c r="J19" s="13" t="s">
        <v>547</v>
      </c>
      <c r="K19" s="13" t="s">
        <v>644</v>
      </c>
      <c r="L19" s="13" t="s">
        <v>414</v>
      </c>
      <c r="M19" s="13" t="s">
        <v>415</v>
      </c>
      <c r="N19" s="13" t="s">
        <v>416</v>
      </c>
      <c r="O19" s="13" t="s">
        <v>454</v>
      </c>
      <c r="P19" s="13" t="s">
        <v>799</v>
      </c>
      <c r="Q19" s="13"/>
    </row>
    <row r="20" spans="1:17" ht="105">
      <c r="A20" s="19" t="s">
        <v>21</v>
      </c>
      <c r="B20" s="13" t="s">
        <v>440</v>
      </c>
      <c r="C20" s="13" t="s">
        <v>22</v>
      </c>
      <c r="D20" s="13" t="s">
        <v>800</v>
      </c>
      <c r="E20" s="13" t="s">
        <v>539</v>
      </c>
      <c r="F20" s="13" t="s">
        <v>540</v>
      </c>
      <c r="G20" s="13" t="s">
        <v>17</v>
      </c>
      <c r="H20" s="13" t="s">
        <v>440</v>
      </c>
      <c r="I20" s="13"/>
      <c r="J20" s="13" t="s">
        <v>584</v>
      </c>
      <c r="K20" s="13"/>
      <c r="L20" s="13" t="s">
        <v>414</v>
      </c>
      <c r="M20" s="13" t="s">
        <v>415</v>
      </c>
      <c r="N20" s="13" t="s">
        <v>425</v>
      </c>
      <c r="O20" s="13" t="s">
        <v>801</v>
      </c>
      <c r="P20" s="13" t="s">
        <v>802</v>
      </c>
      <c r="Q20" s="13"/>
    </row>
    <row r="21" spans="1:17" ht="75">
      <c r="A21" s="19" t="s">
        <v>80</v>
      </c>
      <c r="B21" s="13" t="s">
        <v>440</v>
      </c>
      <c r="C21" s="13" t="s">
        <v>803</v>
      </c>
      <c r="D21" s="13" t="s">
        <v>804</v>
      </c>
      <c r="E21" s="13" t="s">
        <v>539</v>
      </c>
      <c r="F21" s="17" t="s">
        <v>631</v>
      </c>
      <c r="G21" s="13" t="s">
        <v>76</v>
      </c>
      <c r="H21" s="13" t="s">
        <v>606</v>
      </c>
      <c r="I21" s="13"/>
      <c r="J21" s="13" t="s">
        <v>547</v>
      </c>
      <c r="K21" s="13"/>
      <c r="L21" s="13" t="s">
        <v>414</v>
      </c>
      <c r="M21" s="13" t="s">
        <v>415</v>
      </c>
      <c r="N21" s="13" t="s">
        <v>416</v>
      </c>
      <c r="O21" s="13" t="s">
        <v>805</v>
      </c>
      <c r="P21" s="13" t="s">
        <v>806</v>
      </c>
      <c r="Q21" s="13"/>
    </row>
    <row r="22" spans="1:17" ht="30">
      <c r="A22" s="19" t="s">
        <v>221</v>
      </c>
      <c r="B22" s="13" t="s">
        <v>440</v>
      </c>
      <c r="C22" s="13" t="s">
        <v>222</v>
      </c>
      <c r="D22" s="13" t="s">
        <v>807</v>
      </c>
      <c r="E22" s="13" t="s">
        <v>539</v>
      </c>
      <c r="F22" s="13" t="s">
        <v>540</v>
      </c>
      <c r="G22" s="13" t="s">
        <v>219</v>
      </c>
      <c r="H22" s="13" t="s">
        <v>440</v>
      </c>
      <c r="I22" s="13"/>
      <c r="J22" s="13" t="s">
        <v>543</v>
      </c>
      <c r="K22" s="13"/>
      <c r="L22" s="13" t="s">
        <v>414</v>
      </c>
      <c r="M22" s="13" t="s">
        <v>415</v>
      </c>
      <c r="N22" s="13" t="s">
        <v>425</v>
      </c>
      <c r="O22" s="13" t="s">
        <v>426</v>
      </c>
      <c r="P22" s="13" t="s">
        <v>808</v>
      </c>
      <c r="Q22" s="13"/>
    </row>
    <row r="23" spans="1:17" ht="60">
      <c r="A23" s="19" t="s">
        <v>28</v>
      </c>
      <c r="B23" s="13" t="s">
        <v>809</v>
      </c>
      <c r="C23" s="13" t="s">
        <v>29</v>
      </c>
      <c r="D23" s="13" t="s">
        <v>810</v>
      </c>
      <c r="E23" s="13" t="s">
        <v>539</v>
      </c>
      <c r="F23" s="13" t="s">
        <v>540</v>
      </c>
      <c r="G23" s="13" t="s">
        <v>23</v>
      </c>
      <c r="H23" s="13" t="s">
        <v>671</v>
      </c>
      <c r="I23" s="13"/>
      <c r="J23" s="13" t="s">
        <v>543</v>
      </c>
      <c r="K23" s="13"/>
      <c r="L23" s="13" t="s">
        <v>414</v>
      </c>
      <c r="M23" s="13" t="s">
        <v>415</v>
      </c>
      <c r="N23" s="13" t="s">
        <v>473</v>
      </c>
      <c r="O23" s="13" t="s">
        <v>548</v>
      </c>
      <c r="P23" s="13" t="s">
        <v>811</v>
      </c>
      <c r="Q23" s="13"/>
    </row>
    <row r="24" spans="1:17" ht="60">
      <c r="A24" s="19" t="s">
        <v>120</v>
      </c>
      <c r="B24" s="13" t="s">
        <v>809</v>
      </c>
      <c r="C24" s="13" t="s">
        <v>121</v>
      </c>
      <c r="D24" s="13" t="s">
        <v>812</v>
      </c>
      <c r="E24" s="13" t="s">
        <v>587</v>
      </c>
      <c r="F24" s="13" t="s">
        <v>540</v>
      </c>
      <c r="G24" s="13" t="s">
        <v>115</v>
      </c>
      <c r="H24" s="13" t="s">
        <v>674</v>
      </c>
      <c r="I24" s="13"/>
      <c r="J24" s="13" t="s">
        <v>547</v>
      </c>
      <c r="K24" s="13" t="s">
        <v>813</v>
      </c>
      <c r="L24" s="13" t="s">
        <v>414</v>
      </c>
      <c r="M24" s="13" t="s">
        <v>415</v>
      </c>
      <c r="N24" s="13" t="s">
        <v>473</v>
      </c>
      <c r="O24" s="13"/>
      <c r="P24" s="13" t="s">
        <v>814</v>
      </c>
      <c r="Q24" s="13"/>
    </row>
    <row r="25" spans="1:17" ht="45">
      <c r="A25" s="19" t="s">
        <v>180</v>
      </c>
      <c r="B25" s="13" t="s">
        <v>809</v>
      </c>
      <c r="C25" s="13" t="s">
        <v>181</v>
      </c>
      <c r="D25" s="13" t="s">
        <v>815</v>
      </c>
      <c r="E25" s="13" t="s">
        <v>539</v>
      </c>
      <c r="F25" s="13" t="s">
        <v>540</v>
      </c>
      <c r="G25" s="13" t="s">
        <v>176</v>
      </c>
      <c r="H25" s="13" t="s">
        <v>671</v>
      </c>
      <c r="I25" s="13"/>
      <c r="J25" s="13" t="s">
        <v>543</v>
      </c>
      <c r="K25" s="13"/>
      <c r="L25" s="13" t="s">
        <v>414</v>
      </c>
      <c r="M25" s="13" t="s">
        <v>415</v>
      </c>
      <c r="N25" s="13" t="s">
        <v>473</v>
      </c>
      <c r="O25" s="13"/>
      <c r="P25" s="13" t="s">
        <v>816</v>
      </c>
      <c r="Q25" s="13"/>
    </row>
    <row r="26" spans="1:17" ht="45">
      <c r="A26" s="19" t="s">
        <v>63</v>
      </c>
      <c r="B26" s="13" t="s">
        <v>809</v>
      </c>
      <c r="C26" s="13" t="s">
        <v>64</v>
      </c>
      <c r="D26" s="13" t="s">
        <v>817</v>
      </c>
      <c r="E26" s="13" t="s">
        <v>563</v>
      </c>
      <c r="F26" s="13" t="s">
        <v>540</v>
      </c>
      <c r="G26" s="13" t="s">
        <v>59</v>
      </c>
      <c r="H26" s="13" t="s">
        <v>818</v>
      </c>
      <c r="I26" s="13"/>
      <c r="J26" s="13" t="s">
        <v>543</v>
      </c>
      <c r="K26" s="13"/>
      <c r="L26" s="13" t="s">
        <v>414</v>
      </c>
      <c r="M26" s="13" t="s">
        <v>415</v>
      </c>
      <c r="N26" s="13" t="s">
        <v>473</v>
      </c>
      <c r="O26" s="13"/>
      <c r="P26" s="13" t="s">
        <v>819</v>
      </c>
      <c r="Q26" s="13"/>
    </row>
    <row r="27" spans="1:17" ht="120">
      <c r="A27" s="19" t="s">
        <v>30</v>
      </c>
      <c r="B27" s="13" t="s">
        <v>809</v>
      </c>
      <c r="C27" s="13" t="s">
        <v>820</v>
      </c>
      <c r="D27" s="13" t="s">
        <v>821</v>
      </c>
      <c r="E27" s="13" t="s">
        <v>563</v>
      </c>
      <c r="F27" s="13" t="s">
        <v>540</v>
      </c>
      <c r="G27" s="13" t="s">
        <v>822</v>
      </c>
      <c r="H27" s="13" t="s">
        <v>823</v>
      </c>
      <c r="I27" s="13"/>
      <c r="J27" s="13" t="s">
        <v>543</v>
      </c>
      <c r="K27" s="13"/>
      <c r="L27" s="13" t="s">
        <v>414</v>
      </c>
      <c r="M27" s="13" t="s">
        <v>415</v>
      </c>
      <c r="N27" s="13" t="s">
        <v>473</v>
      </c>
      <c r="O27" s="13"/>
      <c r="P27" s="13" t="s">
        <v>824</v>
      </c>
      <c r="Q27" s="13"/>
    </row>
    <row r="28" spans="1:17" ht="90">
      <c r="A28" s="19" t="s">
        <v>100</v>
      </c>
      <c r="B28" s="13" t="s">
        <v>809</v>
      </c>
      <c r="C28" s="13" t="s">
        <v>825</v>
      </c>
      <c r="D28" s="13" t="s">
        <v>826</v>
      </c>
      <c r="E28" s="13" t="s">
        <v>563</v>
      </c>
      <c r="F28" s="13" t="s">
        <v>540</v>
      </c>
      <c r="G28" s="13" t="s">
        <v>827</v>
      </c>
      <c r="H28" s="13" t="s">
        <v>828</v>
      </c>
      <c r="I28" s="13"/>
      <c r="J28" s="13" t="s">
        <v>543</v>
      </c>
      <c r="K28" s="13"/>
      <c r="L28" s="13" t="s">
        <v>414</v>
      </c>
      <c r="M28" s="13" t="s">
        <v>415</v>
      </c>
      <c r="N28" s="13" t="s">
        <v>421</v>
      </c>
      <c r="O28" s="13" t="s">
        <v>829</v>
      </c>
      <c r="P28" s="13" t="s">
        <v>830</v>
      </c>
      <c r="Q28" s="13"/>
    </row>
    <row r="29" spans="1:17" ht="45">
      <c r="A29" s="19" t="s">
        <v>49</v>
      </c>
      <c r="B29" s="13" t="s">
        <v>831</v>
      </c>
      <c r="C29" s="13" t="s">
        <v>50</v>
      </c>
      <c r="D29" s="13" t="s">
        <v>832</v>
      </c>
      <c r="E29" s="13" t="s">
        <v>587</v>
      </c>
      <c r="F29" s="13" t="s">
        <v>540</v>
      </c>
      <c r="G29" s="13" t="s">
        <v>47</v>
      </c>
      <c r="H29" s="13" t="s">
        <v>833</v>
      </c>
      <c r="I29" s="13"/>
      <c r="J29" s="13" t="s">
        <v>584</v>
      </c>
      <c r="K29" s="13" t="s">
        <v>708</v>
      </c>
      <c r="L29" s="13" t="s">
        <v>414</v>
      </c>
      <c r="M29" s="13" t="s">
        <v>415</v>
      </c>
      <c r="N29" s="13" t="s">
        <v>416</v>
      </c>
      <c r="O29" s="13" t="s">
        <v>709</v>
      </c>
      <c r="P29" s="13" t="s">
        <v>834</v>
      </c>
      <c r="Q29" s="13"/>
    </row>
    <row r="30" spans="1:17" ht="60">
      <c r="A30" s="19" t="s">
        <v>51</v>
      </c>
      <c r="B30" s="13" t="s">
        <v>831</v>
      </c>
      <c r="C30" s="13" t="s">
        <v>835</v>
      </c>
      <c r="D30" s="13" t="s">
        <v>836</v>
      </c>
      <c r="E30" s="13" t="s">
        <v>563</v>
      </c>
      <c r="F30" s="13" t="s">
        <v>540</v>
      </c>
      <c r="G30" s="13" t="s">
        <v>837</v>
      </c>
      <c r="H30" s="13" t="s">
        <v>838</v>
      </c>
      <c r="I30" s="13"/>
      <c r="J30" s="13" t="s">
        <v>543</v>
      </c>
      <c r="K30" s="13"/>
      <c r="L30" s="13" t="s">
        <v>414</v>
      </c>
      <c r="M30" s="13" t="s">
        <v>415</v>
      </c>
      <c r="N30" s="13" t="s">
        <v>421</v>
      </c>
      <c r="O30" s="13"/>
      <c r="P30" s="13" t="s">
        <v>839</v>
      </c>
      <c r="Q30" s="13"/>
    </row>
  </sheetData>
  <autoFilter ref="A1:Q30"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7"/>
  <sheetViews>
    <sheetView workbookViewId="0"/>
  </sheetViews>
  <sheetFormatPr defaultRowHeight="15"/>
  <cols>
    <col min="1" max="1" width="110" customWidth="1"/>
  </cols>
  <sheetData>
    <row r="1" spans="1:1" ht="17.25">
      <c r="A1" s="22" t="s">
        <v>840</v>
      </c>
    </row>
    <row r="2" spans="1:1">
      <c r="A2" s="23" t="s">
        <v>841</v>
      </c>
    </row>
    <row r="3" spans="1:1" ht="30">
      <c r="A3" s="23" t="s">
        <v>842</v>
      </c>
    </row>
    <row r="4" spans="1:1" ht="30">
      <c r="A4" s="23" t="s">
        <v>843</v>
      </c>
    </row>
    <row r="5" spans="1:1">
      <c r="A5" s="23"/>
    </row>
    <row r="6" spans="1:1" ht="75">
      <c r="A6" s="23" t="s">
        <v>844</v>
      </c>
    </row>
    <row r="7" spans="1:1">
      <c r="A7" s="23"/>
    </row>
    <row r="8" spans="1:1">
      <c r="A8" s="24" t="s">
        <v>845</v>
      </c>
    </row>
    <row r="9" spans="1:1" ht="30">
      <c r="A9" s="23" t="s">
        <v>846</v>
      </c>
    </row>
    <row r="10" spans="1:1" ht="30">
      <c r="A10" s="23" t="s">
        <v>847</v>
      </c>
    </row>
    <row r="11" spans="1:1" ht="30">
      <c r="A11" s="23" t="s">
        <v>848</v>
      </c>
    </row>
    <row r="12" spans="1:1" ht="75">
      <c r="A12" s="23" t="s">
        <v>849</v>
      </c>
    </row>
    <row r="13" spans="1:1">
      <c r="A13" s="23"/>
    </row>
    <row r="14" spans="1:1">
      <c r="A14" s="24" t="s">
        <v>850</v>
      </c>
    </row>
    <row r="15" spans="1:1" ht="30">
      <c r="A15" s="23" t="s">
        <v>851</v>
      </c>
    </row>
    <row r="16" spans="1:1" ht="30">
      <c r="A16" s="23" t="s">
        <v>852</v>
      </c>
    </row>
    <row r="17" spans="1:1">
      <c r="A17" s="23" t="s">
        <v>853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Decomposition</vt:lpstr>
      <vt:lpstr>Coverage</vt:lpstr>
      <vt:lpstr>Objectives</vt:lpstr>
      <vt:lpstr>Stakeholder reqs</vt:lpstr>
      <vt:lpstr>System reqs</vt:lpstr>
      <vt:lpstr>Sub-system HLRs</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Owen O'Keefe</cp:lastModifiedBy>
  <dcterms:created xsi:type="dcterms:W3CDTF">2026-10-23T01:42:58Z</dcterms:created>
  <dcterms:modified xsi:type="dcterms:W3CDTF">2026-10-27T21:39:44Z</dcterms:modified>
</cp:coreProperties>
</file>